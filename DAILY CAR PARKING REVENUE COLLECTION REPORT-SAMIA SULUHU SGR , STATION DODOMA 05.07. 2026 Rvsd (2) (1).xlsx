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IDESON\Desktop\ASYX\"/>
    </mc:Choice>
  </mc:AlternateContent>
  <xr:revisionPtr revIDLastSave="0" documentId="13_ncr:1_{3C62E0DE-45D6-4B66-9C78-199211EC7EBE}" xr6:coauthVersionLast="47" xr6:coauthVersionMax="47" xr10:uidLastSave="{00000000-0000-0000-0000-000000000000}"/>
  <bookViews>
    <workbookView xWindow="-110" yWindow="-110" windowWidth="19420" windowHeight="10420" tabRatio="779" firstSheet="10" activeTab="12" xr2:uid="{00000000-000D-0000-FFFF-FFFF00000000}"/>
  </bookViews>
  <sheets>
    <sheet name="SSH  BOOTH 1 AND 2 JULY" sheetId="1" r:id="rId1"/>
    <sheet name="SSH BOOTH 1 AND 2 AUGUST" sheetId="2" r:id="rId2"/>
    <sheet name="SSH BOOTH 1 &amp; 2 SEPTEMBER" sheetId="3" r:id="rId3"/>
    <sheet name="SSH BOOTH 1AND 2-OCTOBER" sheetId="4" r:id="rId4"/>
    <sheet name="SSH BOOTH 1&amp;2 NOV" sheetId="5" r:id="rId5"/>
    <sheet name="SSH BOOTH 1 &amp;2 DEC" sheetId="6" r:id="rId6"/>
    <sheet name="SSH BOOTH 1 &amp;2 JAN 26" sheetId="7" r:id="rId7"/>
    <sheet name="SSH BOOTH 1 &amp; 2 FEB 2026" sheetId="8" r:id="rId8"/>
    <sheet name="SSH BOOTH 1 &amp; 2 MARCH 2026" sheetId="9" r:id="rId9"/>
    <sheet name="SSH BOOTH 1 &amp; 2 APRIL 2026" sheetId="10" r:id="rId10"/>
    <sheet name="SSH BOOTH 1 &amp; 2 MAY 2026" sheetId="11" r:id="rId11"/>
    <sheet name="SSH BOOTH 1 &amp; 2 JUNE 2026" sheetId="12" r:id="rId12"/>
    <sheet name="SSH BOOTH 1&amp; 2 JULY 2026" sheetId="13" r:id="rId13"/>
  </sheets>
  <definedNames>
    <definedName name="_xlnm._FilterDatabase" localSheetId="0" hidden="1">'SSH  BOOTH 1 AND 2 JULY'!$C$4:$N$4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1" i="13" l="1"/>
  <c r="G152" i="13"/>
  <c r="H152" i="13" s="1"/>
  <c r="G153" i="13"/>
  <c r="G150" i="13"/>
  <c r="G146" i="13"/>
  <c r="H146" i="13" s="1"/>
  <c r="G147" i="13"/>
  <c r="H147" i="13" s="1"/>
  <c r="G148" i="13"/>
  <c r="G145" i="13"/>
  <c r="G141" i="13"/>
  <c r="G142" i="13"/>
  <c r="G143" i="13"/>
  <c r="H143" i="13" s="1"/>
  <c r="G140" i="13"/>
  <c r="G136" i="13"/>
  <c r="H136" i="13" s="1"/>
  <c r="G137" i="13"/>
  <c r="G138" i="13"/>
  <c r="G135" i="13"/>
  <c r="G131" i="13"/>
  <c r="H131" i="13" s="1"/>
  <c r="G132" i="13"/>
  <c r="G133" i="13"/>
  <c r="G130" i="13"/>
  <c r="G126" i="13"/>
  <c r="G127" i="13"/>
  <c r="G128" i="13"/>
  <c r="H128" i="13" s="1"/>
  <c r="G125" i="13"/>
  <c r="G121" i="13"/>
  <c r="G122" i="13"/>
  <c r="G123" i="13"/>
  <c r="G120" i="13"/>
  <c r="G116" i="13"/>
  <c r="G117" i="13"/>
  <c r="G118" i="13"/>
  <c r="H118" i="13" s="1"/>
  <c r="G115" i="13"/>
  <c r="G111" i="13"/>
  <c r="G112" i="13"/>
  <c r="G113" i="13"/>
  <c r="H113" i="13" s="1"/>
  <c r="G110" i="13"/>
  <c r="G106" i="13"/>
  <c r="G107" i="13"/>
  <c r="G108" i="13"/>
  <c r="G105" i="13"/>
  <c r="G101" i="13"/>
  <c r="G102" i="13"/>
  <c r="G103" i="13"/>
  <c r="H103" i="13" s="1"/>
  <c r="G100" i="13"/>
  <c r="G96" i="13"/>
  <c r="G97" i="13"/>
  <c r="G98" i="13"/>
  <c r="G95" i="13"/>
  <c r="G91" i="13"/>
  <c r="G92" i="13"/>
  <c r="H92" i="13" s="1"/>
  <c r="G93" i="13"/>
  <c r="G90" i="13"/>
  <c r="G86" i="13"/>
  <c r="G87" i="13"/>
  <c r="G88" i="13"/>
  <c r="G85" i="13"/>
  <c r="G81" i="13"/>
  <c r="G82" i="13"/>
  <c r="G83" i="13"/>
  <c r="G80" i="13"/>
  <c r="G76" i="13"/>
  <c r="G77" i="13"/>
  <c r="G78" i="13"/>
  <c r="G75" i="13"/>
  <c r="G71" i="13"/>
  <c r="H71" i="13" s="1"/>
  <c r="G72" i="13"/>
  <c r="G73" i="13"/>
  <c r="G70" i="13"/>
  <c r="G66" i="13"/>
  <c r="G67" i="13"/>
  <c r="G68" i="13"/>
  <c r="G65" i="13"/>
  <c r="G61" i="13"/>
  <c r="G62" i="13"/>
  <c r="G63" i="13"/>
  <c r="G60" i="13"/>
  <c r="G9" i="13"/>
  <c r="G14" i="13"/>
  <c r="G19" i="13"/>
  <c r="G24" i="13"/>
  <c r="G34" i="13"/>
  <c r="G39" i="13"/>
  <c r="G44" i="13"/>
  <c r="G49" i="13"/>
  <c r="G54" i="13"/>
  <c r="G59" i="13"/>
  <c r="G64" i="13"/>
  <c r="G69" i="13"/>
  <c r="G74" i="13"/>
  <c r="G79" i="13"/>
  <c r="G84" i="13"/>
  <c r="G89" i="13"/>
  <c r="G94" i="13"/>
  <c r="G99" i="13"/>
  <c r="G104" i="13"/>
  <c r="G109" i="13"/>
  <c r="G114" i="13"/>
  <c r="G119" i="13"/>
  <c r="G124" i="13"/>
  <c r="G129" i="13"/>
  <c r="G134" i="13"/>
  <c r="G139" i="13"/>
  <c r="G144" i="13"/>
  <c r="G149" i="13"/>
  <c r="G56" i="13"/>
  <c r="G57" i="13"/>
  <c r="G58" i="13"/>
  <c r="G55" i="13"/>
  <c r="G51" i="13"/>
  <c r="G52" i="13"/>
  <c r="G53" i="13"/>
  <c r="G50" i="13"/>
  <c r="H50" i="13" s="1"/>
  <c r="G46" i="13"/>
  <c r="G47" i="13"/>
  <c r="G48" i="13"/>
  <c r="G45" i="13"/>
  <c r="G41" i="13"/>
  <c r="G42" i="13"/>
  <c r="H42" i="13" s="1"/>
  <c r="G43" i="13"/>
  <c r="G40" i="13"/>
  <c r="G36" i="13"/>
  <c r="G37" i="13"/>
  <c r="G38" i="13"/>
  <c r="G35" i="13"/>
  <c r="G31" i="13"/>
  <c r="G32" i="13"/>
  <c r="G33" i="13"/>
  <c r="G30" i="13"/>
  <c r="G26" i="13"/>
  <c r="G27" i="13"/>
  <c r="G28" i="13"/>
  <c r="G25" i="13"/>
  <c r="H25" i="13" s="1"/>
  <c r="G21" i="13"/>
  <c r="H21" i="13" s="1"/>
  <c r="G22" i="13"/>
  <c r="G23" i="13"/>
  <c r="G20" i="13"/>
  <c r="G16" i="13"/>
  <c r="G17" i="13"/>
  <c r="H17" i="13" s="1"/>
  <c r="G18" i="13"/>
  <c r="H18" i="13" s="1"/>
  <c r="G15" i="13"/>
  <c r="H15" i="13" s="1"/>
  <c r="G11" i="13"/>
  <c r="H11" i="13" s="1"/>
  <c r="G12" i="13"/>
  <c r="H12" i="13" s="1"/>
  <c r="G13" i="13"/>
  <c r="H13" i="13" s="1"/>
  <c r="G10" i="13"/>
  <c r="H10" i="13" s="1"/>
  <c r="H16" i="13"/>
  <c r="G6" i="13"/>
  <c r="H6" i="13" s="1"/>
  <c r="G7" i="13"/>
  <c r="H7" i="13" s="1"/>
  <c r="G8" i="13"/>
  <c r="H8" i="13" s="1"/>
  <c r="G5" i="13"/>
  <c r="H5" i="13" s="1"/>
  <c r="G148" i="12"/>
  <c r="F155" i="13"/>
  <c r="G155" i="13" s="1"/>
  <c r="G154" i="13"/>
  <c r="H153" i="13"/>
  <c r="H151" i="13"/>
  <c r="H150" i="13"/>
  <c r="H145" i="13"/>
  <c r="H142" i="13"/>
  <c r="H141" i="13"/>
  <c r="H140" i="13"/>
  <c r="H138" i="13"/>
  <c r="H137" i="13"/>
  <c r="H135" i="13"/>
  <c r="H133" i="13"/>
  <c r="H132" i="13"/>
  <c r="H130" i="13"/>
  <c r="H127" i="13"/>
  <c r="H126" i="13"/>
  <c r="H125" i="13"/>
  <c r="H123" i="13"/>
  <c r="H122" i="13"/>
  <c r="H121" i="13"/>
  <c r="H120" i="13"/>
  <c r="H117" i="13"/>
  <c r="H116" i="13"/>
  <c r="H115" i="13"/>
  <c r="H112" i="13"/>
  <c r="H111" i="13"/>
  <c r="H110" i="13"/>
  <c r="H102" i="13"/>
  <c r="H101" i="13"/>
  <c r="H100" i="13"/>
  <c r="H98" i="13"/>
  <c r="H97" i="13"/>
  <c r="H96" i="13"/>
  <c r="H95" i="13"/>
  <c r="H93" i="13"/>
  <c r="H91" i="13"/>
  <c r="H90" i="13"/>
  <c r="H88" i="13"/>
  <c r="H87" i="13"/>
  <c r="H86" i="13"/>
  <c r="H85" i="13"/>
  <c r="H83" i="13"/>
  <c r="H82" i="13"/>
  <c r="H81" i="13"/>
  <c r="H80" i="13"/>
  <c r="H78" i="13"/>
  <c r="H77" i="13"/>
  <c r="H76" i="13"/>
  <c r="H75" i="13"/>
  <c r="H73" i="13"/>
  <c r="H72" i="13"/>
  <c r="H70" i="13"/>
  <c r="H68" i="13"/>
  <c r="H67" i="13"/>
  <c r="H66" i="13"/>
  <c r="H65" i="13"/>
  <c r="H63" i="13"/>
  <c r="H62" i="13"/>
  <c r="H61" i="13"/>
  <c r="H60" i="13"/>
  <c r="H58" i="13"/>
  <c r="H57" i="13"/>
  <c r="H56" i="13"/>
  <c r="H55" i="13"/>
  <c r="H53" i="13"/>
  <c r="H52" i="13"/>
  <c r="H51" i="13"/>
  <c r="H48" i="13"/>
  <c r="H47" i="13"/>
  <c r="H46" i="13"/>
  <c r="H45" i="13"/>
  <c r="H43" i="13"/>
  <c r="H41" i="13"/>
  <c r="H40" i="13"/>
  <c r="H38" i="13"/>
  <c r="H37" i="13"/>
  <c r="H36" i="13"/>
  <c r="H35" i="13"/>
  <c r="H33" i="13"/>
  <c r="H32" i="13"/>
  <c r="H31" i="13"/>
  <c r="H30" i="13"/>
  <c r="H28" i="13"/>
  <c r="H27" i="13"/>
  <c r="H26" i="13"/>
  <c r="H23" i="13"/>
  <c r="H22" i="13"/>
  <c r="H20" i="13"/>
  <c r="G6" i="12"/>
  <c r="H6" i="12" s="1"/>
  <c r="G7" i="12"/>
  <c r="H7" i="12" s="1"/>
  <c r="G8" i="12"/>
  <c r="H8" i="12" s="1"/>
  <c r="G9" i="12"/>
  <c r="G10" i="12"/>
  <c r="H10" i="12" s="1"/>
  <c r="G11" i="12"/>
  <c r="H11" i="12" s="1"/>
  <c r="G12" i="12"/>
  <c r="H12" i="12" s="1"/>
  <c r="G13" i="12"/>
  <c r="H13" i="12" s="1"/>
  <c r="G14" i="12"/>
  <c r="G15" i="12"/>
  <c r="H15" i="12" s="1"/>
  <c r="G16" i="12"/>
  <c r="H16" i="12" s="1"/>
  <c r="G17" i="12"/>
  <c r="H17" i="12" s="1"/>
  <c r="G18" i="12"/>
  <c r="H18" i="12" s="1"/>
  <c r="G19" i="12"/>
  <c r="G20" i="12"/>
  <c r="H20" i="12" s="1"/>
  <c r="G21" i="12"/>
  <c r="H21" i="12" s="1"/>
  <c r="G22" i="12"/>
  <c r="H22" i="12" s="1"/>
  <c r="G23" i="12"/>
  <c r="H23" i="12" s="1"/>
  <c r="G24" i="12"/>
  <c r="G25" i="12"/>
  <c r="H25" i="12" s="1"/>
  <c r="G26" i="12"/>
  <c r="H26" i="12" s="1"/>
  <c r="G27" i="12"/>
  <c r="H27" i="12" s="1"/>
  <c r="G28" i="12"/>
  <c r="H28" i="12" s="1"/>
  <c r="G29" i="12"/>
  <c r="G30" i="12"/>
  <c r="H30" i="12" s="1"/>
  <c r="G31" i="12"/>
  <c r="H31" i="12" s="1"/>
  <c r="G32" i="12"/>
  <c r="H32" i="12" s="1"/>
  <c r="G33" i="12"/>
  <c r="H33" i="12" s="1"/>
  <c r="G34" i="12"/>
  <c r="G35" i="12"/>
  <c r="H35" i="12" s="1"/>
  <c r="G36" i="12"/>
  <c r="H36" i="12" s="1"/>
  <c r="G37" i="12"/>
  <c r="H37" i="12" s="1"/>
  <c r="G38" i="12"/>
  <c r="H38" i="12" s="1"/>
  <c r="G39" i="12"/>
  <c r="G40" i="12"/>
  <c r="H40" i="12" s="1"/>
  <c r="G41" i="12"/>
  <c r="H41" i="12" s="1"/>
  <c r="G42" i="12"/>
  <c r="H42" i="12" s="1"/>
  <c r="G43" i="12"/>
  <c r="H43" i="12" s="1"/>
  <c r="G44" i="12"/>
  <c r="G45" i="12"/>
  <c r="H45" i="12" s="1"/>
  <c r="G46" i="12"/>
  <c r="H46" i="12" s="1"/>
  <c r="G47" i="12"/>
  <c r="H47" i="12" s="1"/>
  <c r="G48" i="12"/>
  <c r="H48" i="12" s="1"/>
  <c r="G49" i="12"/>
  <c r="G50" i="12"/>
  <c r="H50" i="12" s="1"/>
  <c r="G51" i="12"/>
  <c r="H51" i="12" s="1"/>
  <c r="G52" i="12"/>
  <c r="H52" i="12" s="1"/>
  <c r="G53" i="12"/>
  <c r="H53" i="12" s="1"/>
  <c r="G54" i="12"/>
  <c r="G55" i="12"/>
  <c r="H55" i="12" s="1"/>
  <c r="G56" i="12"/>
  <c r="H56" i="12" s="1"/>
  <c r="G57" i="12"/>
  <c r="H57" i="12" s="1"/>
  <c r="G58" i="12"/>
  <c r="H58" i="12" s="1"/>
  <c r="G59" i="12"/>
  <c r="G60" i="12"/>
  <c r="H60" i="12" s="1"/>
  <c r="G61" i="12"/>
  <c r="H61" i="12" s="1"/>
  <c r="G62" i="12"/>
  <c r="H62" i="12" s="1"/>
  <c r="G63" i="12"/>
  <c r="H63" i="12" s="1"/>
  <c r="G64" i="12"/>
  <c r="G65" i="12"/>
  <c r="H65" i="12" s="1"/>
  <c r="G66" i="12"/>
  <c r="H66" i="12" s="1"/>
  <c r="G67" i="12"/>
  <c r="H67" i="12" s="1"/>
  <c r="G68" i="12"/>
  <c r="H68" i="12" s="1"/>
  <c r="G69" i="12"/>
  <c r="G70" i="12"/>
  <c r="H70" i="12" s="1"/>
  <c r="G71" i="12"/>
  <c r="H71" i="12" s="1"/>
  <c r="G72" i="12"/>
  <c r="H72" i="12" s="1"/>
  <c r="G73" i="12"/>
  <c r="H73" i="12" s="1"/>
  <c r="G74" i="12"/>
  <c r="G75" i="12"/>
  <c r="H75" i="12" s="1"/>
  <c r="G76" i="12"/>
  <c r="H76" i="12" s="1"/>
  <c r="G77" i="12"/>
  <c r="H77" i="12" s="1"/>
  <c r="G78" i="12"/>
  <c r="H78" i="12" s="1"/>
  <c r="G79" i="12"/>
  <c r="G80" i="12"/>
  <c r="H80" i="12" s="1"/>
  <c r="G81" i="12"/>
  <c r="H81" i="12" s="1"/>
  <c r="G82" i="12"/>
  <c r="H82" i="12" s="1"/>
  <c r="G83" i="12"/>
  <c r="H83" i="12" s="1"/>
  <c r="G84" i="12"/>
  <c r="G85" i="12"/>
  <c r="H85" i="12" s="1"/>
  <c r="G86" i="12"/>
  <c r="H86" i="12" s="1"/>
  <c r="G87" i="12"/>
  <c r="H87" i="12" s="1"/>
  <c r="G88" i="12"/>
  <c r="H88" i="12" s="1"/>
  <c r="G89" i="12"/>
  <c r="G90" i="12"/>
  <c r="H90" i="12" s="1"/>
  <c r="G91" i="12"/>
  <c r="H91" i="12" s="1"/>
  <c r="G92" i="12"/>
  <c r="H92" i="12" s="1"/>
  <c r="G93" i="12"/>
  <c r="H93" i="12" s="1"/>
  <c r="G94" i="12"/>
  <c r="G95" i="12"/>
  <c r="H95" i="12" s="1"/>
  <c r="G96" i="12"/>
  <c r="H96" i="12" s="1"/>
  <c r="G97" i="12"/>
  <c r="H97" i="12" s="1"/>
  <c r="G98" i="12"/>
  <c r="H98" i="12" s="1"/>
  <c r="G99" i="12"/>
  <c r="G100" i="12"/>
  <c r="H100" i="12" s="1"/>
  <c r="G101" i="12"/>
  <c r="H101" i="12" s="1"/>
  <c r="G102" i="12"/>
  <c r="H102" i="12" s="1"/>
  <c r="G103" i="12"/>
  <c r="H103" i="12" s="1"/>
  <c r="G104" i="12"/>
  <c r="G105" i="12"/>
  <c r="G106" i="12"/>
  <c r="G107" i="12"/>
  <c r="G108" i="12"/>
  <c r="G109" i="12"/>
  <c r="G110" i="12"/>
  <c r="H110" i="12" s="1"/>
  <c r="G111" i="12"/>
  <c r="H111" i="12" s="1"/>
  <c r="G112" i="12"/>
  <c r="H112" i="12" s="1"/>
  <c r="G113" i="12"/>
  <c r="H113" i="12" s="1"/>
  <c r="G114" i="12"/>
  <c r="G115" i="12"/>
  <c r="H115" i="12" s="1"/>
  <c r="G116" i="12"/>
  <c r="H116" i="12" s="1"/>
  <c r="G117" i="12"/>
  <c r="H117" i="12" s="1"/>
  <c r="G118" i="12"/>
  <c r="H118" i="12" s="1"/>
  <c r="G119" i="12"/>
  <c r="G120" i="12"/>
  <c r="H120" i="12" s="1"/>
  <c r="G121" i="12"/>
  <c r="H121" i="12" s="1"/>
  <c r="G122" i="12"/>
  <c r="H122" i="12" s="1"/>
  <c r="G123" i="12"/>
  <c r="H123" i="12" s="1"/>
  <c r="G124" i="12"/>
  <c r="G125" i="12"/>
  <c r="H125" i="12" s="1"/>
  <c r="G126" i="12"/>
  <c r="H126" i="12" s="1"/>
  <c r="G127" i="12"/>
  <c r="H127" i="12" s="1"/>
  <c r="G128" i="12"/>
  <c r="H128" i="12" s="1"/>
  <c r="G129" i="12"/>
  <c r="G130" i="12"/>
  <c r="H130" i="12" s="1"/>
  <c r="G131" i="12"/>
  <c r="H131" i="12" s="1"/>
  <c r="G132" i="12"/>
  <c r="H132" i="12" s="1"/>
  <c r="G133" i="12"/>
  <c r="H133" i="12" s="1"/>
  <c r="G134" i="12"/>
  <c r="G135" i="12"/>
  <c r="H135" i="12" s="1"/>
  <c r="G136" i="12"/>
  <c r="H136" i="12" s="1"/>
  <c r="G137" i="12"/>
  <c r="H137" i="12" s="1"/>
  <c r="G138" i="12"/>
  <c r="H138" i="12" s="1"/>
  <c r="G139" i="12"/>
  <c r="G140" i="12"/>
  <c r="H140" i="12" s="1"/>
  <c r="G141" i="12"/>
  <c r="H141" i="12" s="1"/>
  <c r="G142" i="12"/>
  <c r="H142" i="12" s="1"/>
  <c r="G143" i="12"/>
  <c r="H143" i="12" s="1"/>
  <c r="G144" i="12"/>
  <c r="G145" i="12"/>
  <c r="H145" i="12" s="1"/>
  <c r="G146" i="12"/>
  <c r="H146" i="12" s="1"/>
  <c r="G147" i="12"/>
  <c r="H147" i="12" s="1"/>
  <c r="G149" i="12"/>
  <c r="G150" i="12"/>
  <c r="H150" i="12" s="1"/>
  <c r="G151" i="12"/>
  <c r="H151" i="12" s="1"/>
  <c r="G152" i="12"/>
  <c r="H152" i="12" s="1"/>
  <c r="G153" i="12"/>
  <c r="H153" i="12" s="1"/>
  <c r="G154" i="12"/>
  <c r="F155" i="12"/>
  <c r="G155" i="12" s="1"/>
  <c r="H5" i="12"/>
  <c r="G159" i="11"/>
  <c r="H159" i="11" s="1"/>
  <c r="G148" i="11"/>
  <c r="H148" i="11" s="1"/>
  <c r="G147" i="11"/>
  <c r="G156" i="11"/>
  <c r="G157" i="11"/>
  <c r="H157" i="11" s="1"/>
  <c r="G158" i="11"/>
  <c r="H158" i="11" s="1"/>
  <c r="G155" i="11"/>
  <c r="H155" i="11" s="1"/>
  <c r="G152" i="11"/>
  <c r="H152" i="11" s="1"/>
  <c r="G153" i="11"/>
  <c r="H153" i="11" s="1"/>
  <c r="G151" i="11"/>
  <c r="G150" i="11"/>
  <c r="G154" i="11"/>
  <c r="G149" i="11"/>
  <c r="H149" i="11" s="1"/>
  <c r="G143" i="11"/>
  <c r="H143" i="11" s="1"/>
  <c r="G142" i="11"/>
  <c r="G146" i="11"/>
  <c r="G145" i="11"/>
  <c r="G144" i="11"/>
  <c r="G141" i="11"/>
  <c r="G140" i="11"/>
  <c r="H140" i="11" s="1"/>
  <c r="G138" i="11"/>
  <c r="H138" i="11" s="1"/>
  <c r="G137" i="11"/>
  <c r="H137" i="11" s="1"/>
  <c r="G139" i="11"/>
  <c r="H139" i="11" s="1"/>
  <c r="H156" i="11"/>
  <c r="H151" i="11"/>
  <c r="H150" i="11"/>
  <c r="H146" i="11"/>
  <c r="H147" i="11"/>
  <c r="H145" i="11"/>
  <c r="H142" i="11"/>
  <c r="H144" i="11"/>
  <c r="G136" i="11"/>
  <c r="H136" i="11" s="1"/>
  <c r="G135" i="11"/>
  <c r="H135" i="11" s="1"/>
  <c r="G133" i="11"/>
  <c r="H133" i="11" s="1"/>
  <c r="G132" i="11"/>
  <c r="H132" i="11" s="1"/>
  <c r="G134" i="11"/>
  <c r="H134" i="11" s="1"/>
  <c r="G131" i="11"/>
  <c r="H131" i="11" s="1"/>
  <c r="G130" i="11"/>
  <c r="H130" i="11" s="1"/>
  <c r="G128" i="11"/>
  <c r="H128" i="11" s="1"/>
  <c r="G127" i="11"/>
  <c r="H127" i="11" s="1"/>
  <c r="H141" i="11"/>
  <c r="G129" i="11"/>
  <c r="H129" i="11" s="1"/>
  <c r="G123" i="11"/>
  <c r="H123" i="11" s="1"/>
  <c r="G122" i="11"/>
  <c r="H122" i="11" s="1"/>
  <c r="G126" i="11"/>
  <c r="H126" i="11" s="1"/>
  <c r="G125" i="11"/>
  <c r="H125" i="11" s="1"/>
  <c r="G124" i="11"/>
  <c r="H124" i="11" s="1"/>
  <c r="G118" i="11"/>
  <c r="H118" i="11" s="1"/>
  <c r="G117" i="11"/>
  <c r="H117" i="11" s="1"/>
  <c r="G121" i="11"/>
  <c r="H121" i="11" s="1"/>
  <c r="G120" i="11"/>
  <c r="H120" i="11" s="1"/>
  <c r="G119" i="11"/>
  <c r="H119" i="11" s="1"/>
  <c r="G116" i="11"/>
  <c r="H116" i="11" s="1"/>
  <c r="G115" i="11"/>
  <c r="H115" i="11" s="1"/>
  <c r="G113" i="11"/>
  <c r="H113" i="11" s="1"/>
  <c r="G112" i="11"/>
  <c r="H112" i="11" s="1"/>
  <c r="G114" i="11"/>
  <c r="H114" i="11" s="1"/>
  <c r="G111" i="11"/>
  <c r="H111" i="11" s="1"/>
  <c r="G110" i="11"/>
  <c r="H110" i="11" s="1"/>
  <c r="G109" i="11"/>
  <c r="H109" i="11" s="1"/>
  <c r="G107" i="11"/>
  <c r="H107" i="11" s="1"/>
  <c r="G108" i="11"/>
  <c r="H108" i="11" s="1"/>
  <c r="G99" i="11"/>
  <c r="H99" i="11" s="1"/>
  <c r="G94" i="11"/>
  <c r="H94" i="11" s="1"/>
  <c r="G89" i="11"/>
  <c r="H89" i="11" s="1"/>
  <c r="G96" i="11"/>
  <c r="H96" i="11" s="1"/>
  <c r="G97" i="11"/>
  <c r="H97" i="11" s="1"/>
  <c r="G98" i="11"/>
  <c r="H98" i="11" s="1"/>
  <c r="G95" i="11"/>
  <c r="H95" i="11" s="1"/>
  <c r="G91" i="11"/>
  <c r="H91" i="11" s="1"/>
  <c r="G92" i="11"/>
  <c r="H92" i="11" s="1"/>
  <c r="G93" i="11"/>
  <c r="H93" i="11" s="1"/>
  <c r="G90" i="11"/>
  <c r="H90" i="11" s="1"/>
  <c r="G88" i="11"/>
  <c r="H88" i="11" s="1"/>
  <c r="G100" i="11"/>
  <c r="H100" i="11" s="1"/>
  <c r="G101" i="11"/>
  <c r="H101" i="11" s="1"/>
  <c r="G102" i="11"/>
  <c r="H102" i="11" s="1"/>
  <c r="G103" i="11"/>
  <c r="H103" i="11" s="1"/>
  <c r="G104" i="11"/>
  <c r="H104" i="11" s="1"/>
  <c r="G105" i="11"/>
  <c r="H105" i="11" s="1"/>
  <c r="G106" i="11"/>
  <c r="H106" i="11" s="1"/>
  <c r="G86" i="11"/>
  <c r="H86" i="11" s="1"/>
  <c r="G87" i="11"/>
  <c r="H87" i="11" s="1"/>
  <c r="G85" i="11"/>
  <c r="H85" i="11" s="1"/>
  <c r="G81" i="11"/>
  <c r="H81" i="11" s="1"/>
  <c r="G82" i="11"/>
  <c r="H82" i="11" s="1"/>
  <c r="G83" i="11"/>
  <c r="H83" i="11" s="1"/>
  <c r="G80" i="11"/>
  <c r="H80" i="11" s="1"/>
  <c r="G76" i="11"/>
  <c r="H76" i="11" s="1"/>
  <c r="G77" i="11"/>
  <c r="H77" i="11" s="1"/>
  <c r="G78" i="11"/>
  <c r="H78" i="11" s="1"/>
  <c r="G75" i="11"/>
  <c r="H75" i="11" s="1"/>
  <c r="G79" i="11"/>
  <c r="H79" i="11" s="1"/>
  <c r="G84" i="11"/>
  <c r="H84" i="11" s="1"/>
  <c r="G70" i="11"/>
  <c r="H70" i="11" s="1"/>
  <c r="G74" i="11"/>
  <c r="H74" i="11" s="1"/>
  <c r="G55" i="11"/>
  <c r="H55" i="11" s="1"/>
  <c r="G56" i="11"/>
  <c r="H56" i="11" s="1"/>
  <c r="G57" i="11"/>
  <c r="H57" i="11" s="1"/>
  <c r="G58" i="11"/>
  <c r="H58" i="11" s="1"/>
  <c r="G59" i="11"/>
  <c r="H59" i="11" s="1"/>
  <c r="G60" i="11"/>
  <c r="H60" i="11" s="1"/>
  <c r="G61" i="11"/>
  <c r="H61" i="11" s="1"/>
  <c r="G62" i="11"/>
  <c r="H62" i="11" s="1"/>
  <c r="G63" i="11"/>
  <c r="H63" i="11" s="1"/>
  <c r="G64" i="11"/>
  <c r="H64" i="11" s="1"/>
  <c r="G65" i="11"/>
  <c r="H65" i="11" s="1"/>
  <c r="G66" i="11"/>
  <c r="H66" i="11" s="1"/>
  <c r="G67" i="11"/>
  <c r="H67" i="11" s="1"/>
  <c r="G68" i="11"/>
  <c r="H68" i="11" s="1"/>
  <c r="G69" i="11"/>
  <c r="H69" i="11" s="1"/>
  <c r="G71" i="11"/>
  <c r="H71" i="11" s="1"/>
  <c r="G72" i="11"/>
  <c r="H72" i="11" s="1"/>
  <c r="G42" i="11"/>
  <c r="H42" i="11" s="1"/>
  <c r="G19" i="11"/>
  <c r="G14" i="11"/>
  <c r="H14" i="11" s="1"/>
  <c r="G9" i="11"/>
  <c r="H9" i="11" s="1"/>
  <c r="F160" i="11"/>
  <c r="G5" i="11"/>
  <c r="H5" i="11" s="1"/>
  <c r="G6" i="11"/>
  <c r="H6" i="11" s="1"/>
  <c r="G41" i="11"/>
  <c r="H41" i="11" s="1"/>
  <c r="G43" i="11"/>
  <c r="H43" i="11" s="1"/>
  <c r="G44" i="11"/>
  <c r="H44" i="11" s="1"/>
  <c r="G45" i="11"/>
  <c r="H45" i="11" s="1"/>
  <c r="G46" i="11"/>
  <c r="H46" i="11" s="1"/>
  <c r="G47" i="11"/>
  <c r="H47" i="11" s="1"/>
  <c r="G48" i="11"/>
  <c r="H48" i="11" s="1"/>
  <c r="G34" i="11"/>
  <c r="H34" i="11" s="1"/>
  <c r="G7" i="11"/>
  <c r="H7" i="11" s="1"/>
  <c r="G8" i="11"/>
  <c r="H8" i="11" s="1"/>
  <c r="G10" i="11"/>
  <c r="H10" i="11" s="1"/>
  <c r="G11" i="11"/>
  <c r="H11" i="11" s="1"/>
  <c r="G12" i="11"/>
  <c r="H12" i="11" s="1"/>
  <c r="G13" i="11"/>
  <c r="H13" i="11" s="1"/>
  <c r="G15" i="11"/>
  <c r="H15" i="11" s="1"/>
  <c r="G16" i="11"/>
  <c r="H16" i="11" s="1"/>
  <c r="G17" i="11"/>
  <c r="H17" i="11" s="1"/>
  <c r="G18" i="11"/>
  <c r="H18" i="11" s="1"/>
  <c r="G20" i="11"/>
  <c r="H20" i="11" s="1"/>
  <c r="G21" i="11"/>
  <c r="H21" i="11" s="1"/>
  <c r="G22" i="11"/>
  <c r="H22" i="11" s="1"/>
  <c r="G23" i="11"/>
  <c r="H23" i="11" s="1"/>
  <c r="G24" i="11"/>
  <c r="H24" i="11" s="1"/>
  <c r="G25" i="11"/>
  <c r="H25" i="11" s="1"/>
  <c r="G26" i="11"/>
  <c r="H26" i="11" s="1"/>
  <c r="G27" i="11"/>
  <c r="H27" i="11" s="1"/>
  <c r="G28" i="11"/>
  <c r="H28" i="11" s="1"/>
  <c r="G29" i="11"/>
  <c r="H29" i="11" s="1"/>
  <c r="G30" i="11"/>
  <c r="H30" i="11" s="1"/>
  <c r="G31" i="11"/>
  <c r="H31" i="11" s="1"/>
  <c r="G32" i="11"/>
  <c r="H32" i="11" s="1"/>
  <c r="G33" i="11"/>
  <c r="H33" i="11" s="1"/>
  <c r="G35" i="11"/>
  <c r="H35" i="11" s="1"/>
  <c r="G36" i="11"/>
  <c r="H36" i="11" s="1"/>
  <c r="G37" i="11"/>
  <c r="H37" i="11" s="1"/>
  <c r="G38" i="11"/>
  <c r="H38" i="11" s="1"/>
  <c r="G39" i="11"/>
  <c r="H39" i="11" s="1"/>
  <c r="G40" i="11"/>
  <c r="H40" i="11" s="1"/>
  <c r="G49" i="11"/>
  <c r="H49" i="11" s="1"/>
  <c r="G50" i="11"/>
  <c r="H50" i="11" s="1"/>
  <c r="G51" i="11"/>
  <c r="H51" i="11" s="1"/>
  <c r="G52" i="11"/>
  <c r="H52" i="11" s="1"/>
  <c r="G53" i="11"/>
  <c r="H53" i="11" s="1"/>
  <c r="G54" i="11"/>
  <c r="H54" i="11" s="1"/>
  <c r="G73" i="11"/>
  <c r="H73" i="11" s="1"/>
  <c r="G153" i="10"/>
  <c r="G152" i="10"/>
  <c r="G154" i="10"/>
  <c r="G149" i="10"/>
  <c r="G144" i="10"/>
  <c r="G139" i="10"/>
  <c r="G133" i="10"/>
  <c r="G132" i="10"/>
  <c r="G147" i="10"/>
  <c r="G148" i="10"/>
  <c r="G141" i="10"/>
  <c r="G142" i="10"/>
  <c r="G143" i="10"/>
  <c r="G140" i="10"/>
  <c r="G135" i="10"/>
  <c r="G136" i="10"/>
  <c r="G138" i="10"/>
  <c r="G145" i="10"/>
  <c r="G146" i="10"/>
  <c r="G150" i="10"/>
  <c r="G151" i="10"/>
  <c r="G134" i="10"/>
  <c r="G124" i="10"/>
  <c r="G109" i="10"/>
  <c r="G104" i="10"/>
  <c r="G131" i="10"/>
  <c r="G137" i="10"/>
  <c r="G125" i="10"/>
  <c r="G126" i="10"/>
  <c r="G121" i="10"/>
  <c r="G122" i="10"/>
  <c r="G123" i="10"/>
  <c r="G127" i="10"/>
  <c r="G128" i="10"/>
  <c r="G129" i="10"/>
  <c r="G112" i="10"/>
  <c r="G113" i="10"/>
  <c r="G114" i="10"/>
  <c r="G115" i="10"/>
  <c r="G116" i="10"/>
  <c r="G117" i="10"/>
  <c r="G118" i="10"/>
  <c r="G110" i="10"/>
  <c r="G111" i="10"/>
  <c r="G119" i="10"/>
  <c r="G107" i="10"/>
  <c r="G108" i="10"/>
  <c r="G105" i="10"/>
  <c r="G106" i="10"/>
  <c r="G120" i="10"/>
  <c r="G130" i="10"/>
  <c r="G101" i="10"/>
  <c r="G102" i="10"/>
  <c r="G103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F155" i="10"/>
  <c r="G5" i="10"/>
  <c r="F146" i="9"/>
  <c r="G144" i="9"/>
  <c r="G143" i="9"/>
  <c r="G138" i="9"/>
  <c r="G139" i="9"/>
  <c r="G140" i="9"/>
  <c r="G141" i="9"/>
  <c r="G133" i="9"/>
  <c r="G134" i="9"/>
  <c r="G136" i="9"/>
  <c r="G135" i="9"/>
  <c r="G137" i="9"/>
  <c r="G129" i="9"/>
  <c r="G128" i="9"/>
  <c r="G131" i="9"/>
  <c r="G130" i="9"/>
  <c r="G132" i="9"/>
  <c r="G127" i="9"/>
  <c r="G122" i="9"/>
  <c r="G117" i="9"/>
  <c r="G124" i="9"/>
  <c r="G125" i="9"/>
  <c r="G126" i="9"/>
  <c r="G123" i="9"/>
  <c r="G119" i="9"/>
  <c r="G120" i="9"/>
  <c r="G121" i="9"/>
  <c r="G118" i="9"/>
  <c r="G112" i="9"/>
  <c r="G114" i="9"/>
  <c r="G115" i="9"/>
  <c r="G116" i="9"/>
  <c r="G113" i="9"/>
  <c r="G109" i="9"/>
  <c r="G110" i="9"/>
  <c r="G111" i="9"/>
  <c r="G108" i="9"/>
  <c r="G107" i="9"/>
  <c r="G106" i="9"/>
  <c r="G104" i="9"/>
  <c r="G105" i="9"/>
  <c r="G103" i="9"/>
  <c r="G97" i="9"/>
  <c r="G98" i="9"/>
  <c r="G99" i="9"/>
  <c r="G100" i="9"/>
  <c r="G101" i="9"/>
  <c r="G102" i="9"/>
  <c r="G88" i="9"/>
  <c r="G89" i="9"/>
  <c r="G90" i="9"/>
  <c r="G91" i="9"/>
  <c r="G92" i="9"/>
  <c r="G93" i="9"/>
  <c r="G94" i="9"/>
  <c r="G95" i="9"/>
  <c r="G96" i="9"/>
  <c r="G87" i="9"/>
  <c r="G85" i="9"/>
  <c r="G86" i="9"/>
  <c r="G84" i="9"/>
  <c r="G83" i="9"/>
  <c r="G82" i="9"/>
  <c r="G73" i="9"/>
  <c r="G74" i="9"/>
  <c r="G75" i="9"/>
  <c r="G76" i="9"/>
  <c r="G77" i="9"/>
  <c r="G78" i="9"/>
  <c r="G79" i="9"/>
  <c r="G80" i="9"/>
  <c r="G81" i="9"/>
  <c r="G69" i="9"/>
  <c r="G70" i="9"/>
  <c r="G71" i="9"/>
  <c r="G72" i="9"/>
  <c r="G64" i="9"/>
  <c r="G65" i="9"/>
  <c r="G66" i="9"/>
  <c r="G67" i="9"/>
  <c r="G68" i="9"/>
  <c r="G61" i="9"/>
  <c r="G62" i="9"/>
  <c r="G63" i="9"/>
  <c r="G57" i="9"/>
  <c r="G58" i="9"/>
  <c r="G59" i="9"/>
  <c r="G53" i="9"/>
  <c r="G54" i="9"/>
  <c r="G55" i="9"/>
  <c r="G56" i="9"/>
  <c r="G60" i="9"/>
  <c r="G47" i="9"/>
  <c r="G48" i="9"/>
  <c r="G49" i="9"/>
  <c r="G50" i="9"/>
  <c r="G51" i="9"/>
  <c r="G52" i="9"/>
  <c r="G39" i="9"/>
  <c r="G40" i="9"/>
  <c r="G41" i="9"/>
  <c r="G42" i="9"/>
  <c r="G43" i="9"/>
  <c r="G44" i="9"/>
  <c r="G45" i="9"/>
  <c r="G46" i="9"/>
  <c r="G36" i="9"/>
  <c r="G31" i="9"/>
  <c r="G32" i="9"/>
  <c r="G33" i="9"/>
  <c r="G34" i="9"/>
  <c r="G35" i="9"/>
  <c r="G37" i="9"/>
  <c r="G27" i="9"/>
  <c r="G49" i="8"/>
  <c r="G28" i="9"/>
  <c r="G5" i="9"/>
  <c r="G146" i="9" s="1"/>
  <c r="G15" i="9"/>
  <c r="G16" i="9"/>
  <c r="G17" i="9"/>
  <c r="G18" i="9"/>
  <c r="G19" i="9"/>
  <c r="G20" i="9"/>
  <c r="G21" i="9"/>
  <c r="G22" i="9"/>
  <c r="G23" i="9"/>
  <c r="G24" i="9"/>
  <c r="G25" i="9"/>
  <c r="G26" i="9"/>
  <c r="G29" i="9"/>
  <c r="G30" i="9"/>
  <c r="G38" i="9"/>
  <c r="G142" i="9"/>
  <c r="G6" i="9"/>
  <c r="G7" i="9"/>
  <c r="G8" i="9"/>
  <c r="G9" i="9"/>
  <c r="G10" i="9"/>
  <c r="G11" i="9"/>
  <c r="G12" i="9"/>
  <c r="G13" i="9"/>
  <c r="G14" i="9"/>
  <c r="G112" i="8"/>
  <c r="G113" i="8"/>
  <c r="G114" i="8"/>
  <c r="G115" i="8"/>
  <c r="G106" i="8"/>
  <c r="G107" i="8"/>
  <c r="G108" i="8"/>
  <c r="G109" i="8"/>
  <c r="G105" i="8"/>
  <c r="G110" i="8"/>
  <c r="G111" i="8"/>
  <c r="G101" i="8"/>
  <c r="G102" i="8"/>
  <c r="G103" i="8"/>
  <c r="G104" i="8"/>
  <c r="G96" i="8"/>
  <c r="G97" i="8"/>
  <c r="G98" i="8"/>
  <c r="G99" i="8"/>
  <c r="G100" i="8"/>
  <c r="G116" i="8"/>
  <c r="G117" i="8"/>
  <c r="G91" i="8"/>
  <c r="G92" i="8"/>
  <c r="G93" i="8"/>
  <c r="G94" i="8"/>
  <c r="G95" i="8"/>
  <c r="G87" i="8"/>
  <c r="G88" i="8"/>
  <c r="G89" i="8"/>
  <c r="G90" i="8"/>
  <c r="G81" i="8"/>
  <c r="G82" i="8"/>
  <c r="G83" i="8"/>
  <c r="G76" i="8"/>
  <c r="G77" i="8"/>
  <c r="G78" i="8"/>
  <c r="G79" i="8"/>
  <c r="G80" i="8"/>
  <c r="G84" i="8"/>
  <c r="G85" i="8"/>
  <c r="G86" i="8"/>
  <c r="G69" i="8"/>
  <c r="G70" i="8"/>
  <c r="G71" i="8"/>
  <c r="G72" i="8"/>
  <c r="G73" i="8"/>
  <c r="G74" i="8"/>
  <c r="G75" i="8"/>
  <c r="G59" i="8"/>
  <c r="G60" i="8"/>
  <c r="G61" i="8"/>
  <c r="G62" i="8"/>
  <c r="G63" i="8"/>
  <c r="G64" i="8"/>
  <c r="G65" i="8"/>
  <c r="G66" i="8"/>
  <c r="G67" i="8"/>
  <c r="G68" i="8"/>
  <c r="G47" i="8"/>
  <c r="G48" i="8"/>
  <c r="G50" i="8"/>
  <c r="G51" i="8"/>
  <c r="G52" i="8"/>
  <c r="G53" i="8"/>
  <c r="G54" i="8"/>
  <c r="G55" i="8"/>
  <c r="G44" i="8"/>
  <c r="G45" i="8"/>
  <c r="G46" i="8"/>
  <c r="G56" i="8"/>
  <c r="G57" i="8"/>
  <c r="G58" i="8"/>
  <c r="G32" i="8"/>
  <c r="G31" i="8"/>
  <c r="G33" i="8"/>
  <c r="G34" i="8"/>
  <c r="G35" i="8"/>
  <c r="G36" i="8"/>
  <c r="G37" i="8"/>
  <c r="G38" i="8"/>
  <c r="G39" i="8"/>
  <c r="G40" i="8"/>
  <c r="G41" i="8"/>
  <c r="G42" i="8"/>
  <c r="G43" i="8"/>
  <c r="G97" i="7"/>
  <c r="F119" i="8"/>
  <c r="G119" i="8" s="1"/>
  <c r="G15" i="8"/>
  <c r="G16" i="8"/>
  <c r="G17" i="8"/>
  <c r="G18" i="8"/>
  <c r="G19" i="8"/>
  <c r="G20" i="8"/>
  <c r="G21" i="8"/>
  <c r="G22" i="8"/>
  <c r="G24" i="8"/>
  <c r="G25" i="8"/>
  <c r="G26" i="8"/>
  <c r="G27" i="8"/>
  <c r="G28" i="8"/>
  <c r="G29" i="8"/>
  <c r="G30" i="8"/>
  <c r="G118" i="8"/>
  <c r="G9" i="8"/>
  <c r="G10" i="8"/>
  <c r="G11" i="8"/>
  <c r="G12" i="8"/>
  <c r="G13" i="8"/>
  <c r="G14" i="8"/>
  <c r="G7" i="8"/>
  <c r="G8" i="8"/>
  <c r="G6" i="8"/>
  <c r="G5" i="8"/>
  <c r="G85" i="7"/>
  <c r="G87" i="7"/>
  <c r="G88" i="7"/>
  <c r="G127" i="7"/>
  <c r="G126" i="7"/>
  <c r="G123" i="7"/>
  <c r="G124" i="7"/>
  <c r="G120" i="7"/>
  <c r="G121" i="7"/>
  <c r="G122" i="7"/>
  <c r="G125" i="7"/>
  <c r="G128" i="7"/>
  <c r="G117" i="7"/>
  <c r="G118" i="7"/>
  <c r="G119" i="7"/>
  <c r="G112" i="7"/>
  <c r="G113" i="7"/>
  <c r="G114" i="7"/>
  <c r="G115" i="7"/>
  <c r="G107" i="7"/>
  <c r="G108" i="7"/>
  <c r="G109" i="7"/>
  <c r="G110" i="7"/>
  <c r="G111" i="7"/>
  <c r="G116" i="7"/>
  <c r="G100" i="7"/>
  <c r="G101" i="7"/>
  <c r="G102" i="7"/>
  <c r="G103" i="7"/>
  <c r="G104" i="7"/>
  <c r="G105" i="7"/>
  <c r="G106" i="7"/>
  <c r="G92" i="7"/>
  <c r="G89" i="7"/>
  <c r="G95" i="7"/>
  <c r="G96" i="7"/>
  <c r="G98" i="7"/>
  <c r="G99" i="7"/>
  <c r="G90" i="7"/>
  <c r="G91" i="7"/>
  <c r="G93" i="7"/>
  <c r="G94" i="7"/>
  <c r="G84" i="7"/>
  <c r="G83" i="7"/>
  <c r="G71" i="7"/>
  <c r="G72" i="7"/>
  <c r="G73" i="7"/>
  <c r="G74" i="7"/>
  <c r="G75" i="7"/>
  <c r="G76" i="7"/>
  <c r="G77" i="7"/>
  <c r="G66" i="7"/>
  <c r="G67" i="7"/>
  <c r="G68" i="7"/>
  <c r="G69" i="7"/>
  <c r="G70" i="7"/>
  <c r="G78" i="7"/>
  <c r="G79" i="7"/>
  <c r="G80" i="7"/>
  <c r="G81" i="7"/>
  <c r="G82" i="7"/>
  <c r="G59" i="7"/>
  <c r="G60" i="7"/>
  <c r="G61" i="7"/>
  <c r="G62" i="7"/>
  <c r="G63" i="7"/>
  <c r="G64" i="7"/>
  <c r="G65" i="7"/>
  <c r="G55" i="7"/>
  <c r="G56" i="7"/>
  <c r="G57" i="7"/>
  <c r="G58" i="7"/>
  <c r="G52" i="7"/>
  <c r="G53" i="7"/>
  <c r="G54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32" i="7"/>
  <c r="G33" i="7"/>
  <c r="G34" i="7"/>
  <c r="G35" i="7"/>
  <c r="G36" i="7"/>
  <c r="G37" i="7"/>
  <c r="G38" i="7"/>
  <c r="G27" i="7"/>
  <c r="G28" i="7"/>
  <c r="G29" i="7"/>
  <c r="G30" i="7"/>
  <c r="G31" i="7"/>
  <c r="G23" i="7"/>
  <c r="G24" i="7"/>
  <c r="G25" i="7"/>
  <c r="G26" i="7"/>
  <c r="G20" i="7"/>
  <c r="G21" i="7"/>
  <c r="G22" i="7"/>
  <c r="G19" i="7"/>
  <c r="G15" i="7"/>
  <c r="G16" i="7"/>
  <c r="G17" i="7"/>
  <c r="G18" i="7"/>
  <c r="G11" i="7"/>
  <c r="G12" i="7"/>
  <c r="G13" i="7"/>
  <c r="G14" i="7"/>
  <c r="G8" i="7"/>
  <c r="G7" i="7"/>
  <c r="G10" i="7"/>
  <c r="G9" i="7"/>
  <c r="G5" i="7"/>
  <c r="G6" i="7"/>
  <c r="F129" i="7"/>
  <c r="F129" i="6"/>
  <c r="G128" i="6"/>
  <c r="G127" i="6"/>
  <c r="G124" i="6"/>
  <c r="G123" i="6"/>
  <c r="G120" i="6"/>
  <c r="G119" i="6"/>
  <c r="G121" i="6"/>
  <c r="G122" i="6"/>
  <c r="G125" i="6"/>
  <c r="G115" i="6"/>
  <c r="G116" i="6"/>
  <c r="G117" i="6"/>
  <c r="G118" i="6"/>
  <c r="G109" i="6"/>
  <c r="G111" i="6"/>
  <c r="G112" i="6"/>
  <c r="G113" i="6"/>
  <c r="G114" i="6"/>
  <c r="G107" i="6"/>
  <c r="G108" i="6"/>
  <c r="G102" i="6"/>
  <c r="G103" i="6"/>
  <c r="G104" i="6"/>
  <c r="G105" i="6"/>
  <c r="G106" i="6"/>
  <c r="G101" i="6"/>
  <c r="G110" i="6"/>
  <c r="G96" i="6"/>
  <c r="G97" i="6"/>
  <c r="G98" i="6"/>
  <c r="G99" i="6"/>
  <c r="G100" i="6"/>
  <c r="G91" i="6"/>
  <c r="G92" i="6"/>
  <c r="G93" i="6"/>
  <c r="G94" i="6"/>
  <c r="G95" i="6"/>
  <c r="G87" i="6"/>
  <c r="G88" i="6"/>
  <c r="G89" i="6"/>
  <c r="G90" i="6"/>
  <c r="G85" i="6"/>
  <c r="G86" i="6"/>
  <c r="G79" i="6"/>
  <c r="G80" i="6"/>
  <c r="G81" i="6"/>
  <c r="G82" i="6"/>
  <c r="G83" i="6"/>
  <c r="G84" i="6"/>
  <c r="G77" i="6"/>
  <c r="G78" i="6"/>
  <c r="G72" i="6"/>
  <c r="G73" i="6"/>
  <c r="G74" i="6"/>
  <c r="G75" i="6"/>
  <c r="G76" i="6"/>
  <c r="G71" i="6"/>
  <c r="G70" i="6"/>
  <c r="G67" i="6"/>
  <c r="G68" i="6"/>
  <c r="G69" i="6"/>
  <c r="G66" i="6"/>
  <c r="G64" i="6"/>
  <c r="G65" i="6"/>
  <c r="G62" i="6"/>
  <c r="G61" i="6"/>
  <c r="G52" i="6"/>
  <c r="G53" i="6"/>
  <c r="G54" i="6"/>
  <c r="G55" i="6"/>
  <c r="G56" i="6"/>
  <c r="G57" i="6"/>
  <c r="G58" i="6"/>
  <c r="G59" i="6"/>
  <c r="G60" i="6"/>
  <c r="G63" i="6"/>
  <c r="G47" i="6"/>
  <c r="G33" i="6"/>
  <c r="G25" i="6"/>
  <c r="G26" i="6"/>
  <c r="G18" i="6"/>
  <c r="G16" i="6"/>
  <c r="G12" i="6"/>
  <c r="G13" i="6"/>
  <c r="G9" i="6"/>
  <c r="G7" i="6"/>
  <c r="G8" i="6"/>
  <c r="G5" i="6"/>
  <c r="G6" i="6"/>
  <c r="G35" i="6"/>
  <c r="G36" i="6"/>
  <c r="G10" i="6"/>
  <c r="G11" i="6"/>
  <c r="G14" i="6"/>
  <c r="G15" i="6"/>
  <c r="G17" i="6"/>
  <c r="G19" i="6"/>
  <c r="G20" i="6"/>
  <c r="G21" i="6"/>
  <c r="G22" i="6"/>
  <c r="G23" i="6"/>
  <c r="G24" i="6"/>
  <c r="G27" i="6"/>
  <c r="G28" i="6"/>
  <c r="G29" i="6"/>
  <c r="G30" i="6"/>
  <c r="G31" i="6"/>
  <c r="G32" i="6"/>
  <c r="G34" i="6"/>
  <c r="G37" i="6"/>
  <c r="G38" i="6"/>
  <c r="G39" i="6"/>
  <c r="G40" i="6"/>
  <c r="G41" i="6"/>
  <c r="G42" i="6"/>
  <c r="G43" i="6"/>
  <c r="G44" i="6"/>
  <c r="G45" i="6"/>
  <c r="G46" i="6"/>
  <c r="G48" i="6"/>
  <c r="G49" i="6"/>
  <c r="G50" i="6"/>
  <c r="G51" i="6"/>
  <c r="G126" i="6"/>
  <c r="F126" i="5"/>
  <c r="G126" i="5"/>
  <c r="F132" i="4"/>
  <c r="G132" i="4"/>
  <c r="G126" i="3"/>
  <c r="F126" i="3"/>
  <c r="G129" i="2"/>
  <c r="F129" i="2"/>
  <c r="G77" i="1"/>
  <c r="H77" i="1" s="1"/>
  <c r="G129" i="6" l="1"/>
  <c r="G160" i="11"/>
  <c r="G155" i="10"/>
  <c r="G129" i="7"/>
</calcChain>
</file>

<file path=xl/sharedStrings.xml><?xml version="1.0" encoding="utf-8"?>
<sst xmlns="http://schemas.openxmlformats.org/spreadsheetml/2006/main" count="6408" uniqueCount="179">
  <si>
    <t>TIME IN</t>
  </si>
  <si>
    <t>TIME OUT</t>
  </si>
  <si>
    <t>DATE IN</t>
  </si>
  <si>
    <t>DATE OUT</t>
  </si>
  <si>
    <t>TOTAL</t>
  </si>
  <si>
    <t>CASHIER NAME</t>
  </si>
  <si>
    <t>COMMENTS</t>
  </si>
  <si>
    <t>S/N</t>
  </si>
  <si>
    <t>CONTROL NO. STATUS</t>
  </si>
  <si>
    <t>AMOUNT DEPOSITED</t>
  </si>
  <si>
    <t>AMOUNT COLLECTED</t>
  </si>
  <si>
    <t>DIFFERENCE</t>
  </si>
  <si>
    <t xml:space="preserve"> -   </t>
  </si>
  <si>
    <t>Booth 2</t>
  </si>
  <si>
    <t>Booth1 main</t>
  </si>
  <si>
    <t>Tumaini George</t>
  </si>
  <si>
    <t>Vicent Evarist</t>
  </si>
  <si>
    <t>RECEIPT NO.</t>
  </si>
  <si>
    <t>CONTROL NO.</t>
  </si>
  <si>
    <t>Hosea Bundala</t>
  </si>
  <si>
    <t>Israel Mosses</t>
  </si>
  <si>
    <t>Booth 1</t>
  </si>
  <si>
    <t>Booth 1 Main</t>
  </si>
  <si>
    <t xml:space="preserve">Boooth 2 </t>
  </si>
  <si>
    <t>Jackson Wilson</t>
  </si>
  <si>
    <t>Nancy Mwangomile</t>
  </si>
  <si>
    <t>AGNGEPG215055095</t>
  </si>
  <si>
    <t>Provided</t>
  </si>
  <si>
    <t>AGNGEPG250101460</t>
  </si>
  <si>
    <t>AGPNGEPG472314703</t>
  </si>
  <si>
    <t>AGPNGEPG102207018</t>
  </si>
  <si>
    <t>Booth 1- Main</t>
  </si>
  <si>
    <t>AGNGEPG124541775</t>
  </si>
  <si>
    <t>AGNGEPG524222010</t>
  </si>
  <si>
    <t>AGNGEPG252057161</t>
  </si>
  <si>
    <t>Booth 1Main</t>
  </si>
  <si>
    <t>AGNGEPG438054046</t>
  </si>
  <si>
    <t>AGNGEPG208022223</t>
  </si>
  <si>
    <t>AGNGEPGO14197517</t>
  </si>
  <si>
    <t>Booth 1 main</t>
  </si>
  <si>
    <t>AGNGEPG246052505</t>
  </si>
  <si>
    <t>AGNGEPG506657277</t>
  </si>
  <si>
    <t>AGNGEPGO76416720</t>
  </si>
  <si>
    <t>Both 1 Main</t>
  </si>
  <si>
    <t>AGNGEPG395752592</t>
  </si>
  <si>
    <t>To be provided</t>
  </si>
  <si>
    <t>Booth  2</t>
  </si>
  <si>
    <t>AGNGEPG118717218</t>
  </si>
  <si>
    <t>AGNGEPG366573752</t>
  </si>
  <si>
    <t>AGNGEPG326585597</t>
  </si>
  <si>
    <t>DAILY CAR PARKING REVENUE COLLECTION REPORT-SAMIA SULUHU STATION SGR -DODOMA LOT 2</t>
  </si>
  <si>
    <t>DODOMA</t>
  </si>
  <si>
    <t>SN</t>
  </si>
  <si>
    <t>Boorg 2</t>
  </si>
  <si>
    <t>AGNGEPG027177170</t>
  </si>
  <si>
    <t>AGNGEPG800050061</t>
  </si>
  <si>
    <t>AGNGEPG42648525</t>
  </si>
  <si>
    <t>AGNGEPG741764015</t>
  </si>
  <si>
    <t>AGNGEPG792275402</t>
  </si>
  <si>
    <t>AGNGEPG559752728</t>
  </si>
  <si>
    <t>AGNGEPG250374022</t>
  </si>
  <si>
    <t>08:01:AM</t>
  </si>
  <si>
    <t>08:06:AM</t>
  </si>
  <si>
    <t>AGNGEPG050020452</t>
  </si>
  <si>
    <t>Main Booth 1</t>
  </si>
  <si>
    <t>AGNGEPG449405089</t>
  </si>
  <si>
    <t>AGNGEPG171008711</t>
  </si>
  <si>
    <t>AGNGEPG705275505</t>
  </si>
  <si>
    <t>AGNGEPG644151905</t>
  </si>
  <si>
    <t>AGNGEPG184455181</t>
  </si>
  <si>
    <t>Both 1</t>
  </si>
  <si>
    <t>Both 2</t>
  </si>
  <si>
    <t>AGNGEPG575023687</t>
  </si>
  <si>
    <t>AGNGEPG331203151</t>
  </si>
  <si>
    <t>AGNGEPG621812275</t>
  </si>
  <si>
    <t>AGNGEPG760525015</t>
  </si>
  <si>
    <t>Boot 2</t>
  </si>
  <si>
    <t>AGNGEPG853252112</t>
  </si>
  <si>
    <t>AGNGEPG722107815</t>
  </si>
  <si>
    <t>AGNGEPG572242273</t>
  </si>
  <si>
    <t>AGNGEPG422040870</t>
  </si>
  <si>
    <t>AGNGEPG857723272</t>
  </si>
  <si>
    <t>AGNGEPG383280225</t>
  </si>
  <si>
    <t>Boopth 2</t>
  </si>
  <si>
    <t>Boorg 1 Main</t>
  </si>
  <si>
    <t>AGNGEPG121925708</t>
  </si>
  <si>
    <t>AGNGEPG771900407</t>
  </si>
  <si>
    <t>AGNGEPG501522041</t>
  </si>
  <si>
    <t>AGNGEPG085380839</t>
  </si>
  <si>
    <t>AGNGEPG102006124</t>
  </si>
  <si>
    <t>AGNGEPG751577061</t>
  </si>
  <si>
    <t>AGNGEPG043595122</t>
  </si>
  <si>
    <t>AGNGEPG177695999</t>
  </si>
  <si>
    <t>AGNGEPG792702913</t>
  </si>
  <si>
    <t>AGNGEPG009902961</t>
  </si>
  <si>
    <t xml:space="preserve">Booth1 </t>
  </si>
  <si>
    <t>Booth2</t>
  </si>
  <si>
    <t>Booth  1 Main</t>
  </si>
  <si>
    <t>Bootrh 1</t>
  </si>
  <si>
    <t>AGNGEPG465583107</t>
  </si>
  <si>
    <t>AGNGEPG524134443</t>
  </si>
  <si>
    <t>AGNGEPG142181277</t>
  </si>
  <si>
    <t>AGNGEPG015311527</t>
  </si>
  <si>
    <t>AGNGEPG930763279</t>
  </si>
  <si>
    <t>AGNGEPG830875150</t>
  </si>
  <si>
    <t>AGNGEPG224750225</t>
  </si>
  <si>
    <t>AGNGEPG923950314</t>
  </si>
  <si>
    <t>AGNGEPG719021200</t>
  </si>
  <si>
    <t>AGNGEPG977599828</t>
  </si>
  <si>
    <t>Booyh 1 main</t>
  </si>
  <si>
    <t>Booyth 2</t>
  </si>
  <si>
    <t>AGNGEPG783953121</t>
  </si>
  <si>
    <t>AGNGEPG512929511</t>
  </si>
  <si>
    <t>AGNGEPG603637860</t>
  </si>
  <si>
    <t>AGNGEPG114911225</t>
  </si>
  <si>
    <t>AGNGEPG029011279</t>
  </si>
  <si>
    <t>AGNGEPG520024221</t>
  </si>
  <si>
    <t>AGNGEPG223882029</t>
  </si>
  <si>
    <t>AGNGEPG103069255</t>
  </si>
  <si>
    <t>AGNGEPG717363188</t>
  </si>
  <si>
    <t>Booth 1`</t>
  </si>
  <si>
    <t>AGNGEPG829198225</t>
  </si>
  <si>
    <t>AGNGEPG060593072</t>
  </si>
  <si>
    <t>AGNGEPG025152150</t>
  </si>
  <si>
    <t xml:space="preserve">Booth 2 </t>
  </si>
  <si>
    <t xml:space="preserve">  </t>
  </si>
  <si>
    <t>AGNGEPG300295096</t>
  </si>
  <si>
    <t>AGNGEPG901909170</t>
  </si>
  <si>
    <t>AGNGEPG411022101</t>
  </si>
  <si>
    <t>AGNGEPG124044110</t>
  </si>
  <si>
    <t>AGNGEPG740110210</t>
  </si>
  <si>
    <t>AGNGEPG25150132</t>
  </si>
  <si>
    <t>booyh1</t>
  </si>
  <si>
    <t>booth 2</t>
  </si>
  <si>
    <t>AGNGEPG715265006</t>
  </si>
  <si>
    <t>AGNGEPG715265007</t>
  </si>
  <si>
    <t>ISRAEL Mosses</t>
  </si>
  <si>
    <t>GENERAL ELECTION</t>
  </si>
  <si>
    <t>OFFICE CLOSED</t>
  </si>
  <si>
    <t>NO ANY REVENUE COLLECTED</t>
  </si>
  <si>
    <t>Israel Lubanga</t>
  </si>
  <si>
    <t>Booth1</t>
  </si>
  <si>
    <t>Nancy  Mwangomile</t>
  </si>
  <si>
    <t>Vicent  Evarist</t>
  </si>
  <si>
    <t>Boorh 2</t>
  </si>
  <si>
    <t>Booth Booth 2</t>
  </si>
  <si>
    <t>987263242991`</t>
  </si>
  <si>
    <t>`122</t>
  </si>
  <si>
    <t>01/0/2026</t>
  </si>
  <si>
    <t>Hosea   Bundala</t>
  </si>
  <si>
    <t>Boothh 1</t>
  </si>
  <si>
    <t>Booth  1</t>
  </si>
  <si>
    <t>PARKING PENALTY CHARGES</t>
  </si>
  <si>
    <t>Not provided</t>
  </si>
  <si>
    <t>Nancy George</t>
  </si>
  <si>
    <t>DODOMA &amp; KILOSA</t>
  </si>
  <si>
    <t>05;00</t>
  </si>
  <si>
    <t>Tuweme Mshindo</t>
  </si>
  <si>
    <t>Kilosa</t>
  </si>
  <si>
    <t>Paul  Linje</t>
  </si>
  <si>
    <t>Unice Mosses</t>
  </si>
  <si>
    <t>EC103009810160</t>
  </si>
  <si>
    <t>EC103009804216</t>
  </si>
  <si>
    <t>Eunice Mosses</t>
  </si>
  <si>
    <t>Booyh 1</t>
  </si>
  <si>
    <t>Bootrh 2</t>
  </si>
  <si>
    <t>Paul Linje</t>
  </si>
  <si>
    <t>Aziz  Lilanga</t>
  </si>
  <si>
    <t>Bootyh 1</t>
  </si>
  <si>
    <t>Unice  Mosses</t>
  </si>
  <si>
    <t>Boot 1</t>
  </si>
  <si>
    <t>booth 1</t>
  </si>
  <si>
    <t>Aziz Lilanga</t>
  </si>
  <si>
    <t>926162446734961 1</t>
  </si>
  <si>
    <t>Not Provided</t>
  </si>
  <si>
    <t>Azizi Lilanga</t>
  </si>
  <si>
    <t xml:space="preserve"> </t>
  </si>
  <si>
    <t>Provide</t>
  </si>
  <si>
    <t>REVENUE COLLECTION WAS SUSPENDED DUE TO POS TERMINAL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</si>
</sst>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5"/>
      <color theme="0"/>
      <name val="Arial"/>
      <family val="2"/>
    </font>
    <font>
      <b/>
      <sz val="9.5"/>
      <color theme="0"/>
      <name val="Arial"/>
      <family val="2"/>
    </font>
    <font>
      <sz val="9.5"/>
      <color theme="1"/>
      <name val="Arial"/>
      <family val="2"/>
    </font>
    <font>
      <b/>
      <sz val="9.5"/>
      <color theme="1"/>
      <name val="Arial"/>
      <family val="2"/>
    </font>
    <font>
      <b/>
      <sz val="11.5"/>
      <color theme="1"/>
      <name val="Arial"/>
      <family val="2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0"/>
      <color theme="1"/>
      <name val="Arial"/>
      <family val="2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6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8.5"/>
      <color theme="0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9"/>
      <name val="Arial"/>
      <family val="2"/>
    </font>
    <font>
      <sz val="9"/>
      <color rgb="FFFF0000"/>
      <name val="Arial"/>
      <family val="2"/>
    </font>
    <font>
      <b/>
      <sz val="10.5"/>
      <color theme="0"/>
      <name val="Calibri"/>
      <family val="2"/>
      <scheme val="minor"/>
    </font>
    <font>
      <b/>
      <sz val="11"/>
      <color rgb="FF002060"/>
      <name val="Arial"/>
      <family val="2"/>
    </font>
    <font>
      <sz val="11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CE9F8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164" fontId="0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vertical="center"/>
    </xf>
    <xf numFmtId="0" fontId="3" fillId="0" borderId="0" xfId="0" applyFont="1"/>
    <xf numFmtId="0" fontId="0" fillId="0" borderId="0" xfId="0" applyAlignment="1">
      <alignment horizontal="left"/>
    </xf>
    <xf numFmtId="164" fontId="0" fillId="0" borderId="0" xfId="1" applyFont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164" fontId="5" fillId="3" borderId="1" xfId="1" applyFont="1" applyFill="1" applyBorder="1" applyAlignment="1">
      <alignment horizontal="center" vertical="center"/>
    </xf>
    <xf numFmtId="43" fontId="5" fillId="3" borderId="1" xfId="0" applyNumberFormat="1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/>
    </xf>
    <xf numFmtId="0" fontId="7" fillId="3" borderId="0" xfId="0" applyFont="1" applyFill="1" applyAlignment="1">
      <alignment horizontal="center"/>
    </xf>
    <xf numFmtId="0" fontId="5" fillId="3" borderId="1" xfId="0" applyFont="1" applyFill="1" applyBorder="1"/>
    <xf numFmtId="164" fontId="5" fillId="3" borderId="1" xfId="1" applyFont="1" applyFill="1" applyBorder="1" applyAlignment="1">
      <alignment vertical="center"/>
    </xf>
    <xf numFmtId="43" fontId="5" fillId="3" borderId="1" xfId="0" applyNumberFormat="1" applyFont="1" applyFill="1" applyBorder="1"/>
    <xf numFmtId="0" fontId="10" fillId="0" borderId="0" xfId="0" applyFont="1" applyAlignment="1">
      <alignment horizontal="center" vertical="center"/>
    </xf>
    <xf numFmtId="165" fontId="11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43" fontId="11" fillId="3" borderId="1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5" fontId="6" fillId="4" borderId="1" xfId="0" applyNumberFormat="1" applyFont="1" applyFill="1" applyBorder="1" applyAlignment="1">
      <alignment horizontal="center"/>
    </xf>
    <xf numFmtId="20" fontId="6" fillId="4" borderId="1" xfId="0" applyNumberFormat="1" applyFont="1" applyFill="1" applyBorder="1" applyAlignment="1">
      <alignment horizontal="center"/>
    </xf>
    <xf numFmtId="164" fontId="6" fillId="4" borderId="1" xfId="1" applyFont="1" applyFill="1" applyBorder="1" applyAlignment="1"/>
    <xf numFmtId="43" fontId="6" fillId="4" borderId="1" xfId="0" applyNumberFormat="1" applyFont="1" applyFill="1" applyBorder="1" applyAlignment="1">
      <alignment horizontal="center"/>
    </xf>
    <xf numFmtId="1" fontId="6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/>
    </xf>
    <xf numFmtId="164" fontId="6" fillId="4" borderId="1" xfId="1" applyFont="1" applyFill="1" applyBorder="1" applyAlignment="1">
      <alignment vertical="center"/>
    </xf>
    <xf numFmtId="0" fontId="6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11" fillId="3" borderId="1" xfId="0" applyFont="1" applyFill="1" applyBorder="1"/>
    <xf numFmtId="0" fontId="6" fillId="5" borderId="1" xfId="0" applyFont="1" applyFill="1" applyBorder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20" fontId="6" fillId="5" borderId="1" xfId="0" applyNumberFormat="1" applyFont="1" applyFill="1" applyBorder="1" applyAlignment="1">
      <alignment horizontal="center"/>
    </xf>
    <xf numFmtId="164" fontId="6" fillId="5" borderId="1" xfId="1" applyFont="1" applyFill="1" applyBorder="1" applyAlignment="1"/>
    <xf numFmtId="43" fontId="6" fillId="5" borderId="1" xfId="0" applyNumberFormat="1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center" vertical="center"/>
    </xf>
    <xf numFmtId="164" fontId="9" fillId="3" borderId="1" xfId="1" applyFont="1" applyFill="1" applyBorder="1" applyAlignment="1">
      <alignment horizontal="center" vertical="center"/>
    </xf>
    <xf numFmtId="43" fontId="9" fillId="3" borderId="1" xfId="0" applyNumberFormat="1" applyFont="1" applyFill="1" applyBorder="1" applyAlignment="1">
      <alignment horizontal="center"/>
    </xf>
    <xf numFmtId="1" fontId="9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/>
    <xf numFmtId="0" fontId="0" fillId="6" borderId="1" xfId="0" applyFill="1" applyBorder="1" applyAlignment="1">
      <alignment horizontal="center"/>
    </xf>
    <xf numFmtId="15" fontId="0" fillId="6" borderId="1" xfId="0" applyNumberFormat="1" applyFill="1" applyBorder="1" applyAlignment="1">
      <alignment horizontal="center"/>
    </xf>
    <xf numFmtId="20" fontId="0" fillId="6" borderId="1" xfId="0" applyNumberFormat="1" applyFill="1" applyBorder="1" applyAlignment="1">
      <alignment horizontal="center"/>
    </xf>
    <xf numFmtId="164" fontId="0" fillId="6" borderId="1" xfId="1" applyFont="1" applyFill="1" applyBorder="1" applyAlignment="1">
      <alignment horizontal="center" vertical="center"/>
    </xf>
    <xf numFmtId="43" fontId="0" fillId="6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164" fontId="0" fillId="6" borderId="1" xfId="1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164" fontId="9" fillId="3" borderId="1" xfId="0" applyNumberFormat="1" applyFont="1" applyFill="1" applyBorder="1" applyAlignment="1">
      <alignment vertical="center"/>
    </xf>
    <xf numFmtId="164" fontId="9" fillId="3" borderId="1" xfId="0" applyNumberFormat="1" applyFont="1" applyFill="1" applyBorder="1"/>
    <xf numFmtId="0" fontId="6" fillId="7" borderId="1" xfId="0" applyFont="1" applyFill="1" applyBorder="1" applyAlignment="1">
      <alignment horizontal="center"/>
    </xf>
    <xf numFmtId="15" fontId="6" fillId="7" borderId="1" xfId="0" applyNumberFormat="1" applyFont="1" applyFill="1" applyBorder="1" applyAlignment="1">
      <alignment horizontal="center"/>
    </xf>
    <xf numFmtId="0" fontId="0" fillId="7" borderId="1" xfId="0" applyFill="1" applyBorder="1"/>
    <xf numFmtId="0" fontId="0" fillId="7" borderId="0" xfId="0" applyFill="1"/>
    <xf numFmtId="0" fontId="0" fillId="7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3" fillId="8" borderId="1" xfId="0" applyFont="1" applyFill="1" applyBorder="1"/>
    <xf numFmtId="164" fontId="0" fillId="7" borderId="1" xfId="1" applyFont="1" applyFill="1" applyBorder="1"/>
    <xf numFmtId="164" fontId="0" fillId="7" borderId="0" xfId="1" applyFont="1" applyFill="1"/>
    <xf numFmtId="164" fontId="3" fillId="8" borderId="1" xfId="1" applyFont="1" applyFill="1" applyBorder="1"/>
    <xf numFmtId="20" fontId="0" fillId="7" borderId="1" xfId="0" applyNumberForma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43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1" fontId="0" fillId="9" borderId="1" xfId="0" applyNumberFormat="1" applyFill="1" applyBorder="1" applyAlignment="1">
      <alignment horizontal="center"/>
    </xf>
    <xf numFmtId="15" fontId="11" fillId="3" borderId="1" xfId="0" applyNumberFormat="1" applyFont="1" applyFill="1" applyBorder="1" applyAlignment="1">
      <alignment horizontal="center" vertical="center"/>
    </xf>
    <xf numFmtId="15" fontId="11" fillId="3" borderId="1" xfId="0" applyNumberFormat="1" applyFont="1" applyFill="1" applyBorder="1" applyAlignment="1">
      <alignment horizontal="center"/>
    </xf>
    <xf numFmtId="20" fontId="11" fillId="3" borderId="1" xfId="0" applyNumberFormat="1" applyFont="1" applyFill="1" applyBorder="1" applyAlignment="1">
      <alignment horizontal="center"/>
    </xf>
    <xf numFmtId="43" fontId="11" fillId="3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/>
    </xf>
    <xf numFmtId="0" fontId="17" fillId="3" borderId="1" xfId="0" applyFont="1" applyFill="1" applyBorder="1"/>
    <xf numFmtId="164" fontId="17" fillId="3" borderId="1" xfId="0" applyNumberFormat="1" applyFont="1" applyFill="1" applyBorder="1"/>
    <xf numFmtId="0" fontId="18" fillId="3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 vertical="center"/>
    </xf>
    <xf numFmtId="164" fontId="18" fillId="3" borderId="1" xfId="1" applyFont="1" applyFill="1" applyBorder="1" applyAlignment="1">
      <alignment horizontal="center" vertical="center"/>
    </xf>
    <xf numFmtId="43" fontId="18" fillId="3" borderId="1" xfId="0" applyNumberFormat="1" applyFont="1" applyFill="1" applyBorder="1" applyAlignment="1">
      <alignment horizontal="center"/>
    </xf>
    <xf numFmtId="1" fontId="18" fillId="3" borderId="1" xfId="0" applyNumberFormat="1" applyFont="1" applyFill="1" applyBorder="1" applyAlignment="1">
      <alignment horizontal="center"/>
    </xf>
    <xf numFmtId="0" fontId="18" fillId="3" borderId="1" xfId="0" applyFont="1" applyFill="1" applyBorder="1" applyAlignment="1">
      <alignment vertical="center"/>
    </xf>
    <xf numFmtId="0" fontId="18" fillId="3" borderId="1" xfId="0" applyFont="1" applyFill="1" applyBorder="1"/>
    <xf numFmtId="0" fontId="19" fillId="10" borderId="1" xfId="0" applyFont="1" applyFill="1" applyBorder="1" applyAlignment="1">
      <alignment horizontal="center"/>
    </xf>
    <xf numFmtId="15" fontId="19" fillId="10" borderId="1" xfId="0" applyNumberFormat="1" applyFont="1" applyFill="1" applyBorder="1" applyAlignment="1">
      <alignment horizontal="center"/>
    </xf>
    <xf numFmtId="20" fontId="19" fillId="10" borderId="1" xfId="0" applyNumberFormat="1" applyFont="1" applyFill="1" applyBorder="1" applyAlignment="1">
      <alignment horizontal="center"/>
    </xf>
    <xf numFmtId="164" fontId="19" fillId="10" borderId="1" xfId="1" applyFont="1" applyFill="1" applyBorder="1" applyAlignment="1">
      <alignment horizontal="center" vertical="center"/>
    </xf>
    <xf numFmtId="43" fontId="19" fillId="10" borderId="1" xfId="0" applyNumberFormat="1" applyFont="1" applyFill="1" applyBorder="1" applyAlignment="1">
      <alignment horizontal="center"/>
    </xf>
    <xf numFmtId="1" fontId="19" fillId="10" borderId="1" xfId="0" applyNumberFormat="1" applyFont="1" applyFill="1" applyBorder="1" applyAlignment="1">
      <alignment horizontal="center"/>
    </xf>
    <xf numFmtId="0" fontId="19" fillId="10" borderId="1" xfId="0" applyFont="1" applyFill="1" applyBorder="1" applyAlignment="1">
      <alignment horizontal="left" vertical="center"/>
    </xf>
    <xf numFmtId="0" fontId="19" fillId="10" borderId="1" xfId="0" applyFont="1" applyFill="1" applyBorder="1"/>
    <xf numFmtId="0" fontId="19" fillId="10" borderId="1" xfId="0" applyFont="1" applyFill="1" applyBorder="1" applyAlignment="1">
      <alignment horizontal="left"/>
    </xf>
    <xf numFmtId="164" fontId="11" fillId="3" borderId="1" xfId="1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/>
    </xf>
    <xf numFmtId="15" fontId="20" fillId="10" borderId="1" xfId="0" applyNumberFormat="1" applyFont="1" applyFill="1" applyBorder="1" applyAlignment="1">
      <alignment horizontal="center"/>
    </xf>
    <xf numFmtId="20" fontId="20" fillId="10" borderId="1" xfId="0" applyNumberFormat="1" applyFont="1" applyFill="1" applyBorder="1" applyAlignment="1">
      <alignment horizontal="center"/>
    </xf>
    <xf numFmtId="164" fontId="20" fillId="10" borderId="1" xfId="1" applyFont="1" applyFill="1" applyBorder="1" applyAlignment="1">
      <alignment horizontal="center" vertical="center"/>
    </xf>
    <xf numFmtId="43" fontId="20" fillId="10" borderId="1" xfId="0" applyNumberFormat="1" applyFont="1" applyFill="1" applyBorder="1" applyAlignment="1">
      <alignment horizontal="center"/>
    </xf>
    <xf numFmtId="1" fontId="20" fillId="10" borderId="1" xfId="0" applyNumberFormat="1" applyFont="1" applyFill="1" applyBorder="1" applyAlignment="1">
      <alignment horizontal="center"/>
    </xf>
    <xf numFmtId="0" fontId="20" fillId="10" borderId="1" xfId="0" applyFont="1" applyFill="1" applyBorder="1" applyAlignment="1">
      <alignment horizontal="left" vertical="center"/>
    </xf>
    <xf numFmtId="0" fontId="20" fillId="10" borderId="1" xfId="0" applyFont="1" applyFill="1" applyBorder="1"/>
    <xf numFmtId="0" fontId="21" fillId="10" borderId="1" xfId="0" applyFont="1" applyFill="1" applyBorder="1"/>
    <xf numFmtId="164" fontId="21" fillId="10" borderId="1" xfId="0" applyNumberFormat="1" applyFont="1" applyFill="1" applyBorder="1"/>
    <xf numFmtId="165" fontId="20" fillId="2" borderId="1" xfId="0" applyNumberFormat="1" applyFont="1" applyFill="1" applyBorder="1" applyAlignment="1">
      <alignment horizontal="center" vertical="center"/>
    </xf>
    <xf numFmtId="15" fontId="20" fillId="2" borderId="1" xfId="0" applyNumberFormat="1" applyFont="1" applyFill="1" applyBorder="1" applyAlignment="1">
      <alignment horizontal="center" vertical="center"/>
    </xf>
    <xf numFmtId="15" fontId="20" fillId="2" borderId="1" xfId="0" applyNumberFormat="1" applyFont="1" applyFill="1" applyBorder="1" applyAlignment="1">
      <alignment horizontal="center"/>
    </xf>
    <xf numFmtId="20" fontId="20" fillId="2" borderId="1" xfId="0" applyNumberFormat="1" applyFont="1" applyFill="1" applyBorder="1" applyAlignment="1">
      <alignment horizontal="center"/>
    </xf>
    <xf numFmtId="43" fontId="20" fillId="2" borderId="1" xfId="0" applyNumberFormat="1" applyFont="1" applyFill="1" applyBorder="1" applyAlignment="1">
      <alignment horizontal="center" vertical="center"/>
    </xf>
    <xf numFmtId="43" fontId="20" fillId="2" borderId="1" xfId="0" applyNumberFormat="1" applyFont="1" applyFill="1" applyBorder="1" applyAlignment="1">
      <alignment horizontal="center"/>
    </xf>
    <xf numFmtId="1" fontId="20" fillId="2" borderId="1" xfId="0" applyNumberFormat="1" applyFont="1" applyFill="1" applyBorder="1" applyAlignment="1">
      <alignment horizontal="center"/>
    </xf>
    <xf numFmtId="0" fontId="20" fillId="2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/>
    </xf>
    <xf numFmtId="0" fontId="20" fillId="2" borderId="1" xfId="0" applyFont="1" applyFill="1" applyBorder="1"/>
    <xf numFmtId="0" fontId="21" fillId="10" borderId="1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center"/>
    </xf>
    <xf numFmtId="15" fontId="20" fillId="8" borderId="1" xfId="0" applyNumberFormat="1" applyFont="1" applyFill="1" applyBorder="1" applyAlignment="1">
      <alignment horizontal="center"/>
    </xf>
    <xf numFmtId="20" fontId="20" fillId="8" borderId="1" xfId="0" applyNumberFormat="1" applyFont="1" applyFill="1" applyBorder="1" applyAlignment="1">
      <alignment horizontal="center"/>
    </xf>
    <xf numFmtId="164" fontId="20" fillId="8" borderId="1" xfId="1" applyFont="1" applyFill="1" applyBorder="1" applyAlignment="1">
      <alignment horizontal="center"/>
    </xf>
    <xf numFmtId="43" fontId="20" fillId="8" borderId="1" xfId="0" applyNumberFormat="1" applyFont="1" applyFill="1" applyBorder="1" applyAlignment="1">
      <alignment horizontal="center"/>
    </xf>
    <xf numFmtId="1" fontId="20" fillId="8" borderId="1" xfId="0" applyNumberFormat="1" applyFont="1" applyFill="1" applyBorder="1" applyAlignment="1">
      <alignment horizontal="center"/>
    </xf>
    <xf numFmtId="0" fontId="20" fillId="8" borderId="1" xfId="0" applyFont="1" applyFill="1" applyBorder="1" applyAlignment="1">
      <alignment horizontal="left" vertical="center"/>
    </xf>
    <xf numFmtId="0" fontId="20" fillId="8" borderId="1" xfId="0" applyFont="1" applyFill="1" applyBorder="1"/>
    <xf numFmtId="0" fontId="25" fillId="8" borderId="1" xfId="0" applyFont="1" applyFill="1" applyBorder="1"/>
    <xf numFmtId="0" fontId="20" fillId="12" borderId="1" xfId="0" applyFont="1" applyFill="1" applyBorder="1" applyAlignment="1">
      <alignment horizontal="center"/>
    </xf>
    <xf numFmtId="15" fontId="20" fillId="12" borderId="1" xfId="0" applyNumberFormat="1" applyFont="1" applyFill="1" applyBorder="1" applyAlignment="1">
      <alignment horizontal="center"/>
    </xf>
    <xf numFmtId="20" fontId="20" fillId="12" borderId="1" xfId="0" applyNumberFormat="1" applyFont="1" applyFill="1" applyBorder="1" applyAlignment="1">
      <alignment horizontal="center"/>
    </xf>
    <xf numFmtId="164" fontId="20" fillId="12" borderId="1" xfId="1" applyFont="1" applyFill="1" applyBorder="1" applyAlignment="1">
      <alignment horizontal="center"/>
    </xf>
    <xf numFmtId="43" fontId="20" fillId="12" borderId="1" xfId="0" applyNumberFormat="1" applyFont="1" applyFill="1" applyBorder="1" applyAlignment="1">
      <alignment horizontal="center"/>
    </xf>
    <xf numFmtId="1" fontId="20" fillId="12" borderId="1" xfId="0" applyNumberFormat="1" applyFont="1" applyFill="1" applyBorder="1" applyAlignment="1">
      <alignment horizontal="center"/>
    </xf>
    <xf numFmtId="0" fontId="20" fillId="12" borderId="1" xfId="0" applyFont="1" applyFill="1" applyBorder="1" applyAlignment="1">
      <alignment horizontal="left" vertical="center"/>
    </xf>
    <xf numFmtId="0" fontId="20" fillId="12" borderId="1" xfId="0" applyFont="1" applyFill="1" applyBorder="1"/>
    <xf numFmtId="164" fontId="11" fillId="3" borderId="1" xfId="0" applyNumberFormat="1" applyFont="1" applyFill="1" applyBorder="1"/>
    <xf numFmtId="0" fontId="0" fillId="11" borderId="0" xfId="0" applyFill="1" applyAlignment="1">
      <alignment horizontal="center"/>
    </xf>
    <xf numFmtId="0" fontId="23" fillId="13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164" fontId="20" fillId="15" borderId="1" xfId="1" applyFont="1" applyFill="1" applyBorder="1" applyAlignment="1">
      <alignment horizontal="center"/>
    </xf>
    <xf numFmtId="15" fontId="20" fillId="11" borderId="1" xfId="0" applyNumberFormat="1" applyFont="1" applyFill="1" applyBorder="1" applyAlignment="1">
      <alignment horizontal="center"/>
    </xf>
    <xf numFmtId="20" fontId="20" fillId="11" borderId="1" xfId="0" applyNumberFormat="1" applyFont="1" applyFill="1" applyBorder="1" applyAlignment="1">
      <alignment horizontal="center"/>
    </xf>
    <xf numFmtId="164" fontId="20" fillId="11" borderId="1" xfId="1" applyFont="1" applyFill="1" applyBorder="1" applyAlignment="1">
      <alignment horizontal="center"/>
    </xf>
    <xf numFmtId="43" fontId="20" fillId="11" borderId="1" xfId="0" applyNumberFormat="1" applyFont="1" applyFill="1" applyBorder="1" applyAlignment="1">
      <alignment horizontal="center"/>
    </xf>
    <xf numFmtId="1" fontId="20" fillId="11" borderId="1" xfId="0" applyNumberFormat="1" applyFont="1" applyFill="1" applyBorder="1" applyAlignment="1">
      <alignment horizontal="center"/>
    </xf>
    <xf numFmtId="0" fontId="20" fillId="11" borderId="1" xfId="0" applyFont="1" applyFill="1" applyBorder="1"/>
    <xf numFmtId="0" fontId="20" fillId="11" borderId="1" xfId="0" applyFont="1" applyFill="1" applyBorder="1" applyAlignment="1">
      <alignment horizontal="center"/>
    </xf>
    <xf numFmtId="0" fontId="20" fillId="11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164" fontId="20" fillId="12" borderId="1" xfId="1" applyFont="1" applyFill="1" applyBorder="1" applyAlignment="1"/>
    <xf numFmtId="164" fontId="11" fillId="3" borderId="1" xfId="1" applyFont="1" applyFill="1" applyBorder="1" applyAlignment="1">
      <alignment horizontal="center"/>
    </xf>
    <xf numFmtId="164" fontId="20" fillId="12" borderId="1" xfId="1" applyFont="1" applyFill="1" applyBorder="1" applyAlignment="1">
      <alignment horizontal="left"/>
    </xf>
    <xf numFmtId="164" fontId="20" fillId="16" borderId="1" xfId="1" applyFont="1" applyFill="1" applyBorder="1" applyAlignment="1">
      <alignment horizontal="left"/>
    </xf>
    <xf numFmtId="164" fontId="20" fillId="11" borderId="1" xfId="1" applyFont="1" applyFill="1" applyBorder="1" applyAlignment="1">
      <alignment horizontal="left"/>
    </xf>
    <xf numFmtId="0" fontId="20" fillId="13" borderId="1" xfId="0" applyFont="1" applyFill="1" applyBorder="1" applyAlignment="1">
      <alignment horizontal="center"/>
    </xf>
    <xf numFmtId="164" fontId="20" fillId="13" borderId="1" xfId="1" applyFont="1" applyFill="1" applyBorder="1" applyAlignment="1">
      <alignment horizontal="center"/>
    </xf>
    <xf numFmtId="43" fontId="20" fillId="13" borderId="1" xfId="0" applyNumberFormat="1" applyFont="1" applyFill="1" applyBorder="1" applyAlignment="1">
      <alignment horizontal="center"/>
    </xf>
    <xf numFmtId="0" fontId="26" fillId="17" borderId="1" xfId="0" applyFont="1" applyFill="1" applyBorder="1" applyAlignment="1">
      <alignment horizontal="center"/>
    </xf>
    <xf numFmtId="15" fontId="26" fillId="17" borderId="1" xfId="0" applyNumberFormat="1" applyFont="1" applyFill="1" applyBorder="1" applyAlignment="1">
      <alignment horizontal="center"/>
    </xf>
    <xf numFmtId="164" fontId="26" fillId="17" borderId="1" xfId="1" applyFont="1" applyFill="1" applyBorder="1" applyAlignment="1">
      <alignment horizontal="center"/>
    </xf>
    <xf numFmtId="43" fontId="26" fillId="17" borderId="1" xfId="0" applyNumberFormat="1" applyFont="1" applyFill="1" applyBorder="1" applyAlignment="1">
      <alignment horizontal="center"/>
    </xf>
    <xf numFmtId="0" fontId="26" fillId="17" borderId="1" xfId="0" applyFont="1" applyFill="1" applyBorder="1" applyAlignment="1">
      <alignment horizontal="left" vertical="center"/>
    </xf>
    <xf numFmtId="0" fontId="26" fillId="17" borderId="1" xfId="0" applyFont="1" applyFill="1" applyBorder="1"/>
    <xf numFmtId="164" fontId="26" fillId="17" borderId="1" xfId="1" applyFont="1" applyFill="1" applyBorder="1" applyAlignment="1">
      <alignment horizontal="left"/>
    </xf>
    <xf numFmtId="1" fontId="26" fillId="17" borderId="1" xfId="0" applyNumberFormat="1" applyFont="1" applyFill="1" applyBorder="1" applyAlignment="1">
      <alignment horizontal="center"/>
    </xf>
    <xf numFmtId="0" fontId="27" fillId="17" borderId="1" xfId="0" applyFont="1" applyFill="1" applyBorder="1"/>
    <xf numFmtId="164" fontId="28" fillId="18" borderId="1" xfId="1" applyFont="1" applyFill="1" applyBorder="1" applyAlignment="1">
      <alignment horizontal="center"/>
    </xf>
    <xf numFmtId="0" fontId="28" fillId="18" borderId="1" xfId="0" applyFont="1" applyFill="1" applyBorder="1"/>
    <xf numFmtId="0" fontId="28" fillId="18" borderId="1" xfId="0" applyFont="1" applyFill="1" applyBorder="1" applyAlignment="1">
      <alignment horizontal="left"/>
    </xf>
    <xf numFmtId="0" fontId="28" fillId="18" borderId="13" xfId="0" applyFont="1" applyFill="1" applyBorder="1" applyAlignment="1">
      <alignment horizontal="center"/>
    </xf>
    <xf numFmtId="0" fontId="28" fillId="18" borderId="13" xfId="0" applyFont="1" applyFill="1" applyBorder="1" applyAlignment="1">
      <alignment horizontal="center" vertical="center"/>
    </xf>
    <xf numFmtId="164" fontId="28" fillId="18" borderId="13" xfId="1" applyFont="1" applyFill="1" applyBorder="1" applyAlignment="1">
      <alignment horizontal="center" vertical="center"/>
    </xf>
    <xf numFmtId="43" fontId="28" fillId="18" borderId="13" xfId="0" applyNumberFormat="1" applyFont="1" applyFill="1" applyBorder="1" applyAlignment="1">
      <alignment horizontal="center"/>
    </xf>
    <xf numFmtId="1" fontId="28" fillId="18" borderId="13" xfId="0" applyNumberFormat="1" applyFont="1" applyFill="1" applyBorder="1" applyAlignment="1">
      <alignment horizontal="center"/>
    </xf>
    <xf numFmtId="0" fontId="28" fillId="18" borderId="13" xfId="0" applyFont="1" applyFill="1" applyBorder="1" applyAlignment="1">
      <alignment horizontal="left" vertical="center"/>
    </xf>
    <xf numFmtId="0" fontId="28" fillId="18" borderId="13" xfId="0" applyFont="1" applyFill="1" applyBorder="1"/>
    <xf numFmtId="0" fontId="26" fillId="4" borderId="1" xfId="0" applyFont="1" applyFill="1" applyBorder="1" applyAlignment="1">
      <alignment horizontal="center"/>
    </xf>
    <xf numFmtId="15" fontId="26" fillId="4" borderId="1" xfId="0" applyNumberFormat="1" applyFont="1" applyFill="1" applyBorder="1" applyAlignment="1">
      <alignment horizontal="center"/>
    </xf>
    <xf numFmtId="20" fontId="26" fillId="4" borderId="1" xfId="0" applyNumberFormat="1" applyFont="1" applyFill="1" applyBorder="1" applyAlignment="1">
      <alignment horizontal="center"/>
    </xf>
    <xf numFmtId="164" fontId="26" fillId="4" borderId="1" xfId="1" applyFont="1" applyFill="1" applyBorder="1" applyAlignment="1"/>
    <xf numFmtId="164" fontId="26" fillId="4" borderId="1" xfId="1" applyFont="1" applyFill="1" applyBorder="1" applyAlignment="1">
      <alignment horizontal="center"/>
    </xf>
    <xf numFmtId="43" fontId="26" fillId="4" borderId="1" xfId="0" applyNumberFormat="1" applyFont="1" applyFill="1" applyBorder="1" applyAlignment="1">
      <alignment horizontal="center"/>
    </xf>
    <xf numFmtId="0" fontId="26" fillId="4" borderId="1" xfId="0" applyFont="1" applyFill="1" applyBorder="1" applyAlignment="1">
      <alignment horizontal="left" vertical="center"/>
    </xf>
    <xf numFmtId="0" fontId="26" fillId="4" borderId="1" xfId="0" applyFont="1" applyFill="1" applyBorder="1"/>
    <xf numFmtId="164" fontId="26" fillId="4" borderId="1" xfId="1" applyFont="1" applyFill="1" applyBorder="1" applyAlignment="1">
      <alignment horizontal="left"/>
    </xf>
    <xf numFmtId="0" fontId="26" fillId="4" borderId="1" xfId="0" applyFont="1" applyFill="1" applyBorder="1" applyAlignment="1">
      <alignment horizontal="left"/>
    </xf>
    <xf numFmtId="0" fontId="27" fillId="4" borderId="1" xfId="0" applyFont="1" applyFill="1" applyBorder="1"/>
    <xf numFmtId="0" fontId="0" fillId="4" borderId="17" xfId="0" applyFill="1" applyBorder="1"/>
    <xf numFmtId="0" fontId="0" fillId="4" borderId="19" xfId="0" applyFill="1" applyBorder="1"/>
    <xf numFmtId="0" fontId="0" fillId="4" borderId="23" xfId="0" applyFill="1" applyBorder="1"/>
    <xf numFmtId="0" fontId="27" fillId="4" borderId="1" xfId="0" applyFont="1" applyFill="1" applyBorder="1" applyAlignment="1">
      <alignment horizontal="center"/>
    </xf>
    <xf numFmtId="0" fontId="27" fillId="17" borderId="1" xfId="0" applyFont="1" applyFill="1" applyBorder="1" applyAlignment="1">
      <alignment horizontal="center"/>
    </xf>
    <xf numFmtId="20" fontId="20" fillId="17" borderId="1" xfId="0" applyNumberFormat="1" applyFont="1" applyFill="1" applyBorder="1" applyAlignment="1">
      <alignment horizontal="center"/>
    </xf>
    <xf numFmtId="164" fontId="27" fillId="4" borderId="1" xfId="1" applyFont="1" applyFill="1" applyBorder="1"/>
    <xf numFmtId="164" fontId="27" fillId="17" borderId="1" xfId="1" applyFont="1" applyFill="1" applyBorder="1"/>
    <xf numFmtId="164" fontId="0" fillId="0" borderId="0" xfId="1" applyFont="1"/>
    <xf numFmtId="164" fontId="28" fillId="18" borderId="13" xfId="1" applyFont="1" applyFill="1" applyBorder="1" applyAlignment="1">
      <alignment horizontal="center"/>
    </xf>
    <xf numFmtId="164" fontId="28" fillId="18" borderId="1" xfId="1" applyFont="1" applyFill="1" applyBorder="1"/>
    <xf numFmtId="1" fontId="20" fillId="4" borderId="1" xfId="0" applyNumberFormat="1" applyFont="1" applyFill="1" applyBorder="1" applyAlignment="1">
      <alignment horizontal="center"/>
    </xf>
    <xf numFmtId="1" fontId="20" fillId="17" borderId="1" xfId="0" applyNumberFormat="1" applyFont="1" applyFill="1" applyBorder="1" applyAlignment="1">
      <alignment horizontal="center"/>
    </xf>
    <xf numFmtId="1" fontId="29" fillId="17" borderId="1" xfId="0" applyNumberFormat="1" applyFont="1" applyFill="1" applyBorder="1" applyAlignment="1">
      <alignment horizontal="center"/>
    </xf>
    <xf numFmtId="43" fontId="26" fillId="8" borderId="1" xfId="0" applyNumberFormat="1" applyFont="1" applyFill="1" applyBorder="1" applyAlignment="1">
      <alignment horizontal="center"/>
    </xf>
    <xf numFmtId="0" fontId="26" fillId="8" borderId="1" xfId="0" applyFont="1" applyFill="1" applyBorder="1" applyAlignment="1">
      <alignment horizontal="left" vertical="center"/>
    </xf>
    <xf numFmtId="0" fontId="26" fillId="8" borderId="1" xfId="0" applyFont="1" applyFill="1" applyBorder="1" applyAlignment="1">
      <alignment horizontal="center"/>
    </xf>
    <xf numFmtId="0" fontId="26" fillId="8" borderId="1" xfId="0" applyFont="1" applyFill="1" applyBorder="1"/>
    <xf numFmtId="0" fontId="28" fillId="7" borderId="1" xfId="0" applyFont="1" applyFill="1" applyBorder="1" applyAlignment="1">
      <alignment horizontal="center"/>
    </xf>
    <xf numFmtId="0" fontId="28" fillId="7" borderId="1" xfId="0" applyFont="1" applyFill="1" applyBorder="1" applyAlignment="1">
      <alignment horizontal="center" vertical="center"/>
    </xf>
    <xf numFmtId="0" fontId="28" fillId="7" borderId="4" xfId="0" applyFont="1" applyFill="1" applyBorder="1" applyAlignment="1">
      <alignment horizontal="center"/>
    </xf>
    <xf numFmtId="164" fontId="28" fillId="7" borderId="1" xfId="1" applyFont="1" applyFill="1" applyBorder="1" applyAlignment="1">
      <alignment horizontal="center" vertical="center"/>
    </xf>
    <xf numFmtId="164" fontId="28" fillId="7" borderId="1" xfId="1" applyFont="1" applyFill="1" applyBorder="1" applyAlignment="1">
      <alignment horizontal="center"/>
    </xf>
    <xf numFmtId="43" fontId="28" fillId="7" borderId="1" xfId="0" applyNumberFormat="1" applyFont="1" applyFill="1" applyBorder="1" applyAlignment="1">
      <alignment horizontal="center"/>
    </xf>
    <xf numFmtId="1" fontId="28" fillId="7" borderId="1" xfId="0" applyNumberFormat="1" applyFont="1" applyFill="1" applyBorder="1" applyAlignment="1">
      <alignment horizontal="center"/>
    </xf>
    <xf numFmtId="0" fontId="28" fillId="7" borderId="1" xfId="0" applyFont="1" applyFill="1" applyBorder="1" applyAlignment="1">
      <alignment horizontal="left" vertical="center"/>
    </xf>
    <xf numFmtId="0" fontId="28" fillId="7" borderId="1" xfId="0" applyFont="1" applyFill="1" applyBorder="1"/>
    <xf numFmtId="0" fontId="26" fillId="7" borderId="1" xfId="0" applyFont="1" applyFill="1" applyBorder="1" applyAlignment="1">
      <alignment horizontal="center"/>
    </xf>
    <xf numFmtId="15" fontId="26" fillId="7" borderId="1" xfId="0" applyNumberFormat="1" applyFont="1" applyFill="1" applyBorder="1" applyAlignment="1">
      <alignment horizontal="center"/>
    </xf>
    <xf numFmtId="15" fontId="26" fillId="7" borderId="4" xfId="0" applyNumberFormat="1" applyFont="1" applyFill="1" applyBorder="1" applyAlignment="1">
      <alignment horizontal="center"/>
    </xf>
    <xf numFmtId="20" fontId="26" fillId="7" borderId="1" xfId="0" applyNumberFormat="1" applyFont="1" applyFill="1" applyBorder="1" applyAlignment="1">
      <alignment horizontal="center"/>
    </xf>
    <xf numFmtId="164" fontId="26" fillId="7" borderId="1" xfId="1" applyFont="1" applyFill="1" applyBorder="1" applyAlignment="1">
      <alignment horizontal="center"/>
    </xf>
    <xf numFmtId="43" fontId="26" fillId="7" borderId="1" xfId="0" applyNumberFormat="1" applyFont="1" applyFill="1" applyBorder="1" applyAlignment="1">
      <alignment horizontal="center"/>
    </xf>
    <xf numFmtId="1" fontId="20" fillId="7" borderId="1" xfId="0" applyNumberFormat="1" applyFont="1" applyFill="1" applyBorder="1" applyAlignment="1">
      <alignment horizontal="center"/>
    </xf>
    <xf numFmtId="0" fontId="26" fillId="7" borderId="1" xfId="0" applyFont="1" applyFill="1" applyBorder="1" applyAlignment="1">
      <alignment horizontal="left" vertical="center"/>
    </xf>
    <xf numFmtId="0" fontId="26" fillId="7" borderId="1" xfId="0" applyFont="1" applyFill="1" applyBorder="1"/>
    <xf numFmtId="164" fontId="26" fillId="8" borderId="1" xfId="1" applyFont="1" applyFill="1" applyBorder="1" applyAlignment="1">
      <alignment vertical="center"/>
    </xf>
    <xf numFmtId="164" fontId="26" fillId="7" borderId="1" xfId="1" applyFont="1" applyFill="1" applyBorder="1" applyAlignment="1">
      <alignment vertical="center"/>
    </xf>
    <xf numFmtId="15" fontId="26" fillId="8" borderId="4" xfId="0" applyNumberFormat="1" applyFont="1" applyFill="1" applyBorder="1" applyAlignment="1">
      <alignment horizontal="center"/>
    </xf>
    <xf numFmtId="15" fontId="26" fillId="8" borderId="1" xfId="0" applyNumberFormat="1" applyFont="1" applyFill="1" applyBorder="1" applyAlignment="1">
      <alignment horizontal="center"/>
    </xf>
    <xf numFmtId="0" fontId="20" fillId="7" borderId="1" xfId="0" applyFont="1" applyFill="1" applyBorder="1" applyAlignment="1">
      <alignment horizontal="center"/>
    </xf>
    <xf numFmtId="164" fontId="20" fillId="8" borderId="1" xfId="1" applyFont="1" applyFill="1" applyBorder="1" applyAlignment="1">
      <alignment vertical="center"/>
    </xf>
    <xf numFmtId="164" fontId="20" fillId="7" borderId="1" xfId="1" applyFont="1" applyFill="1" applyBorder="1" applyAlignment="1">
      <alignment vertical="center"/>
    </xf>
    <xf numFmtId="0" fontId="20" fillId="7" borderId="1" xfId="0" applyFont="1" applyFill="1" applyBorder="1"/>
    <xf numFmtId="164" fontId="30" fillId="3" borderId="1" xfId="0" applyNumberFormat="1" applyFont="1" applyFill="1" applyBorder="1"/>
    <xf numFmtId="0" fontId="30" fillId="3" borderId="1" xfId="0" applyFont="1" applyFill="1" applyBorder="1"/>
    <xf numFmtId="0" fontId="20" fillId="8" borderId="1" xfId="0" applyFont="1" applyFill="1" applyBorder="1" applyAlignment="1">
      <alignment horizontal="left"/>
    </xf>
    <xf numFmtId="0" fontId="20" fillId="7" borderId="1" xfId="0" applyFont="1" applyFill="1" applyBorder="1" applyAlignment="1">
      <alignment horizontal="left"/>
    </xf>
    <xf numFmtId="0" fontId="30" fillId="3" borderId="1" xfId="0" applyFont="1" applyFill="1" applyBorder="1" applyAlignment="1">
      <alignment horizontal="left"/>
    </xf>
    <xf numFmtId="164" fontId="26" fillId="15" borderId="1" xfId="1" applyFont="1" applyFill="1" applyBorder="1" applyAlignment="1">
      <alignment vertical="center"/>
    </xf>
    <xf numFmtId="0" fontId="28" fillId="14" borderId="1" xfId="0" applyFont="1" applyFill="1" applyBorder="1" applyAlignment="1">
      <alignment horizontal="center"/>
    </xf>
    <xf numFmtId="0" fontId="28" fillId="14" borderId="1" xfId="0" applyFont="1" applyFill="1" applyBorder="1" applyAlignment="1">
      <alignment horizontal="center" vertical="center"/>
    </xf>
    <xf numFmtId="0" fontId="28" fillId="14" borderId="4" xfId="0" applyFont="1" applyFill="1" applyBorder="1" applyAlignment="1">
      <alignment horizontal="center"/>
    </xf>
    <xf numFmtId="164" fontId="28" fillId="14" borderId="1" xfId="1" applyFont="1" applyFill="1" applyBorder="1" applyAlignment="1">
      <alignment horizontal="center" vertical="center"/>
    </xf>
    <xf numFmtId="164" fontId="28" fillId="14" borderId="1" xfId="1" applyFont="1" applyFill="1" applyBorder="1" applyAlignment="1">
      <alignment horizontal="center"/>
    </xf>
    <xf numFmtId="43" fontId="28" fillId="14" borderId="1" xfId="0" applyNumberFormat="1" applyFont="1" applyFill="1" applyBorder="1" applyAlignment="1">
      <alignment horizontal="center"/>
    </xf>
    <xf numFmtId="1" fontId="28" fillId="14" borderId="1" xfId="0" applyNumberFormat="1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20" fontId="20" fillId="20" borderId="1" xfId="0" applyNumberFormat="1" applyFont="1" applyFill="1" applyBorder="1" applyAlignment="1">
      <alignment horizontal="center"/>
    </xf>
    <xf numFmtId="20" fontId="20" fillId="13" borderId="1" xfId="0" applyNumberFormat="1" applyFont="1" applyFill="1" applyBorder="1" applyAlignment="1">
      <alignment horizontal="center"/>
    </xf>
    <xf numFmtId="15" fontId="20" fillId="20" borderId="1" xfId="0" applyNumberFormat="1" applyFont="1" applyFill="1" applyBorder="1" applyAlignment="1">
      <alignment horizontal="center"/>
    </xf>
    <xf numFmtId="15" fontId="20" fillId="20" borderId="4" xfId="0" applyNumberFormat="1" applyFont="1" applyFill="1" applyBorder="1" applyAlignment="1">
      <alignment horizontal="center"/>
    </xf>
    <xf numFmtId="164" fontId="20" fillId="19" borderId="1" xfId="1" applyFont="1" applyFill="1" applyBorder="1" applyAlignment="1">
      <alignment vertical="center"/>
    </xf>
    <xf numFmtId="0" fontId="20" fillId="19" borderId="1" xfId="0" applyFont="1" applyFill="1" applyBorder="1" applyAlignment="1">
      <alignment horizontal="left" vertical="center"/>
    </xf>
    <xf numFmtId="0" fontId="20" fillId="19" borderId="1" xfId="0" applyFont="1" applyFill="1" applyBorder="1" applyAlignment="1">
      <alignment horizontal="center"/>
    </xf>
    <xf numFmtId="0" fontId="20" fillId="19" borderId="1" xfId="0" applyFont="1" applyFill="1" applyBorder="1"/>
    <xf numFmtId="0" fontId="0" fillId="19" borderId="0" xfId="0" applyFill="1" applyAlignment="1">
      <alignment horizontal="center"/>
    </xf>
    <xf numFmtId="15" fontId="20" fillId="13" borderId="1" xfId="0" applyNumberFormat="1" applyFont="1" applyFill="1" applyBorder="1" applyAlignment="1">
      <alignment horizontal="center"/>
    </xf>
    <xf numFmtId="15" fontId="20" fillId="13" borderId="4" xfId="0" applyNumberFormat="1" applyFont="1" applyFill="1" applyBorder="1" applyAlignment="1">
      <alignment horizontal="center"/>
    </xf>
    <xf numFmtId="164" fontId="20" fillId="13" borderId="1" xfId="1" applyFont="1" applyFill="1" applyBorder="1" applyAlignment="1">
      <alignment vertical="center"/>
    </xf>
    <xf numFmtId="0" fontId="32" fillId="0" borderId="0" xfId="0" applyFont="1"/>
    <xf numFmtId="0" fontId="20" fillId="13" borderId="1" xfId="0" applyFont="1" applyFill="1" applyBorder="1"/>
    <xf numFmtId="0" fontId="20" fillId="21" borderId="1" xfId="0" applyFont="1" applyFill="1" applyBorder="1"/>
    <xf numFmtId="164" fontId="21" fillId="10" borderId="0" xfId="0" applyNumberFormat="1" applyFont="1" applyFill="1"/>
    <xf numFmtId="0" fontId="21" fillId="10" borderId="0" xfId="0" applyFont="1" applyFill="1"/>
    <xf numFmtId="164" fontId="20" fillId="13" borderId="1" xfId="1" applyFont="1" applyFill="1" applyBorder="1"/>
    <xf numFmtId="164" fontId="20" fillId="19" borderId="1" xfId="1" applyFont="1" applyFill="1" applyBorder="1"/>
    <xf numFmtId="164" fontId="20" fillId="21" borderId="1" xfId="1" applyFont="1" applyFill="1" applyBorder="1"/>
    <xf numFmtId="164" fontId="21" fillId="10" borderId="0" xfId="1" applyFont="1" applyFill="1"/>
    <xf numFmtId="0" fontId="21" fillId="10" borderId="0" xfId="0" applyFont="1" applyFill="1" applyAlignment="1">
      <alignment horizontal="center"/>
    </xf>
    <xf numFmtId="43" fontId="26" fillId="19" borderId="1" xfId="0" applyNumberFormat="1" applyFont="1" applyFill="1" applyBorder="1" applyAlignment="1">
      <alignment horizontal="center"/>
    </xf>
    <xf numFmtId="164" fontId="20" fillId="14" borderId="1" xfId="1" applyFont="1" applyFill="1" applyBorder="1" applyAlignment="1">
      <alignment vertical="center"/>
    </xf>
    <xf numFmtId="1" fontId="20" fillId="19" borderId="1" xfId="0" applyNumberFormat="1" applyFont="1" applyFill="1" applyBorder="1" applyAlignment="1">
      <alignment horizontal="center"/>
    </xf>
    <xf numFmtId="1" fontId="26" fillId="7" borderId="1" xfId="0" applyNumberFormat="1" applyFont="1" applyFill="1" applyBorder="1" applyAlignment="1">
      <alignment horizontal="center"/>
    </xf>
    <xf numFmtId="164" fontId="20" fillId="22" borderId="1" xfId="1" applyFont="1" applyFill="1" applyBorder="1" applyAlignment="1">
      <alignment vertical="center"/>
    </xf>
    <xf numFmtId="43" fontId="26" fillId="22" borderId="1" xfId="0" applyNumberFormat="1" applyFont="1" applyFill="1" applyBorder="1" applyAlignment="1">
      <alignment horizontal="center"/>
    </xf>
    <xf numFmtId="1" fontId="20" fillId="22" borderId="1" xfId="0" applyNumberFormat="1" applyFont="1" applyFill="1" applyBorder="1" applyAlignment="1">
      <alignment horizontal="center"/>
    </xf>
    <xf numFmtId="0" fontId="20" fillId="22" borderId="1" xfId="0" applyFont="1" applyFill="1" applyBorder="1" applyAlignment="1">
      <alignment horizontal="left" vertical="center"/>
    </xf>
    <xf numFmtId="0" fontId="20" fillId="22" borderId="1" xfId="0" applyFont="1" applyFill="1" applyBorder="1"/>
    <xf numFmtId="0" fontId="20" fillId="22" borderId="1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 vertical="center"/>
    </xf>
    <xf numFmtId="164" fontId="28" fillId="4" borderId="1" xfId="1" applyFont="1" applyFill="1" applyBorder="1" applyAlignment="1">
      <alignment horizontal="center"/>
    </xf>
    <xf numFmtId="43" fontId="28" fillId="4" borderId="1" xfId="0" applyNumberFormat="1" applyFont="1" applyFill="1" applyBorder="1" applyAlignment="1">
      <alignment horizontal="center"/>
    </xf>
    <xf numFmtId="1" fontId="28" fillId="4" borderId="1" xfId="0" applyNumberFormat="1" applyFont="1" applyFill="1" applyBorder="1" applyAlignment="1">
      <alignment horizontal="center"/>
    </xf>
    <xf numFmtId="0" fontId="28" fillId="4" borderId="4" xfId="0" applyFont="1" applyFill="1" applyBorder="1" applyAlignment="1">
      <alignment horizontal="center" vertical="center"/>
    </xf>
    <xf numFmtId="1" fontId="20" fillId="14" borderId="1" xfId="0" applyNumberFormat="1" applyFont="1" applyFill="1" applyBorder="1" applyAlignment="1">
      <alignment horizontal="center"/>
    </xf>
    <xf numFmtId="164" fontId="28" fillId="4" borderId="1" xfId="1" applyFont="1" applyFill="1" applyBorder="1" applyAlignment="1">
      <alignment vertical="center"/>
    </xf>
    <xf numFmtId="164" fontId="20" fillId="21" borderId="1" xfId="1" applyFont="1" applyFill="1" applyBorder="1" applyAlignment="1">
      <alignment vertical="center"/>
    </xf>
    <xf numFmtId="164" fontId="21" fillId="10" borderId="0" xfId="1" applyFont="1" applyFill="1" applyAlignment="1">
      <alignment vertical="center"/>
    </xf>
    <xf numFmtId="164" fontId="0" fillId="0" borderId="0" xfId="1" applyFont="1" applyAlignment="1">
      <alignment vertical="center"/>
    </xf>
    <xf numFmtId="1" fontId="20" fillId="13" borderId="1" xfId="0" applyNumberFormat="1" applyFont="1" applyFill="1" applyBorder="1" applyAlignment="1">
      <alignment horizontal="center"/>
    </xf>
    <xf numFmtId="0" fontId="21" fillId="13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left"/>
    </xf>
    <xf numFmtId="0" fontId="20" fillId="22" borderId="1" xfId="0" applyFont="1" applyFill="1" applyBorder="1" applyAlignment="1">
      <alignment horizontal="left"/>
    </xf>
    <xf numFmtId="0" fontId="20" fillId="21" borderId="1" xfId="0" applyFont="1" applyFill="1" applyBorder="1" applyAlignment="1">
      <alignment horizontal="left"/>
    </xf>
    <xf numFmtId="0" fontId="21" fillId="10" borderId="0" xfId="0" applyFont="1" applyFill="1" applyAlignment="1">
      <alignment horizontal="left"/>
    </xf>
    <xf numFmtId="1" fontId="20" fillId="15" borderId="1" xfId="0" applyNumberFormat="1" applyFont="1" applyFill="1" applyBorder="1" applyAlignment="1">
      <alignment horizontal="center"/>
    </xf>
    <xf numFmtId="0" fontId="21" fillId="10" borderId="2" xfId="0" applyFont="1" applyFill="1" applyBorder="1" applyAlignment="1">
      <alignment horizontal="center"/>
    </xf>
    <xf numFmtId="0" fontId="21" fillId="10" borderId="3" xfId="0" applyFont="1" applyFill="1" applyBorder="1" applyAlignment="1">
      <alignment horizontal="center"/>
    </xf>
    <xf numFmtId="0" fontId="21" fillId="10" borderId="4" xfId="0" applyFont="1" applyFill="1" applyBorder="1" applyAlignment="1">
      <alignment horizontal="center"/>
    </xf>
    <xf numFmtId="0" fontId="31" fillId="19" borderId="15" xfId="0" applyFont="1" applyFill="1" applyBorder="1" applyAlignment="1">
      <alignment horizontal="center"/>
    </xf>
    <xf numFmtId="0" fontId="31" fillId="19" borderId="16" xfId="0" applyFont="1" applyFill="1" applyBorder="1" applyAlignment="1">
      <alignment horizontal="center"/>
    </xf>
    <xf numFmtId="17" fontId="31" fillId="19" borderId="3" xfId="0" applyNumberFormat="1" applyFont="1" applyFill="1" applyBorder="1" applyAlignment="1">
      <alignment horizontal="center"/>
    </xf>
    <xf numFmtId="17" fontId="31" fillId="19" borderId="4" xfId="0" applyNumberFormat="1" applyFont="1" applyFill="1" applyBorder="1" applyAlignment="1">
      <alignment horizontal="center"/>
    </xf>
    <xf numFmtId="0" fontId="31" fillId="19" borderId="21" xfId="0" applyFont="1" applyFill="1" applyBorder="1" applyAlignment="1">
      <alignment horizontal="center"/>
    </xf>
    <xf numFmtId="0" fontId="31" fillId="19" borderId="22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17" fontId="12" fillId="0" borderId="1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7" fontId="8" fillId="0" borderId="2" xfId="0" applyNumberFormat="1" applyFont="1" applyBorder="1" applyAlignment="1">
      <alignment horizontal="center"/>
    </xf>
    <xf numFmtId="17" fontId="8" fillId="0" borderId="3" xfId="0" applyNumberFormat="1" applyFont="1" applyBorder="1" applyAlignment="1">
      <alignment horizontal="center"/>
    </xf>
    <xf numFmtId="17" fontId="8" fillId="0" borderId="4" xfId="0" applyNumberFormat="1" applyFont="1" applyBorder="1" applyAlignment="1">
      <alignment horizontal="center"/>
    </xf>
    <xf numFmtId="164" fontId="13" fillId="2" borderId="5" xfId="1" applyFont="1" applyFill="1" applyBorder="1" applyAlignment="1">
      <alignment horizontal="center" vertical="center"/>
    </xf>
    <xf numFmtId="164" fontId="13" fillId="2" borderId="6" xfId="1" applyFont="1" applyFill="1" applyBorder="1" applyAlignment="1">
      <alignment horizontal="center" vertical="center"/>
    </xf>
    <xf numFmtId="164" fontId="13" fillId="2" borderId="7" xfId="1" applyFont="1" applyFill="1" applyBorder="1" applyAlignment="1">
      <alignment horizontal="center" vertical="center"/>
    </xf>
    <xf numFmtId="164" fontId="13" fillId="2" borderId="11" xfId="1" applyFont="1" applyFill="1" applyBorder="1" applyAlignment="1">
      <alignment horizontal="center" vertical="center"/>
    </xf>
    <xf numFmtId="164" fontId="13" fillId="2" borderId="0" xfId="1" applyFont="1" applyFill="1" applyBorder="1" applyAlignment="1">
      <alignment horizontal="center" vertical="center"/>
    </xf>
    <xf numFmtId="164" fontId="13" fillId="2" borderId="12" xfId="1" applyFont="1" applyFill="1" applyBorder="1" applyAlignment="1">
      <alignment horizontal="center" vertical="center"/>
    </xf>
    <xf numFmtId="164" fontId="13" fillId="2" borderId="8" xfId="1" applyFont="1" applyFill="1" applyBorder="1" applyAlignment="1">
      <alignment horizontal="center" vertical="center"/>
    </xf>
    <xf numFmtId="164" fontId="13" fillId="2" borderId="9" xfId="1" applyFont="1" applyFill="1" applyBorder="1" applyAlignment="1">
      <alignment horizontal="center" vertical="center"/>
    </xf>
    <xf numFmtId="164" fontId="13" fillId="2" borderId="10" xfId="1" applyFont="1" applyFill="1" applyBorder="1" applyAlignment="1">
      <alignment horizontal="center" vertical="center"/>
    </xf>
    <xf numFmtId="1" fontId="14" fillId="2" borderId="5" xfId="0" applyNumberFormat="1" applyFont="1" applyFill="1" applyBorder="1" applyAlignment="1">
      <alignment horizontal="center" vertical="center"/>
    </xf>
    <xf numFmtId="1" fontId="14" fillId="2" borderId="6" xfId="0" applyNumberFormat="1" applyFont="1" applyFill="1" applyBorder="1" applyAlignment="1">
      <alignment horizontal="center" vertical="center"/>
    </xf>
    <xf numFmtId="1" fontId="14" fillId="2" borderId="7" xfId="0" applyNumberFormat="1" applyFont="1" applyFill="1" applyBorder="1" applyAlignment="1">
      <alignment horizontal="center" vertical="center"/>
    </xf>
    <xf numFmtId="1" fontId="14" fillId="2" borderId="11" xfId="0" applyNumberFormat="1" applyFont="1" applyFill="1" applyBorder="1" applyAlignment="1">
      <alignment horizontal="center" vertical="center"/>
    </xf>
    <xf numFmtId="1" fontId="14" fillId="2" borderId="0" xfId="0" applyNumberFormat="1" applyFont="1" applyFill="1" applyAlignment="1">
      <alignment horizontal="center" vertical="center"/>
    </xf>
    <xf numFmtId="1" fontId="14" fillId="2" borderId="12" xfId="0" applyNumberFormat="1" applyFont="1" applyFill="1" applyBorder="1" applyAlignment="1">
      <alignment horizontal="center" vertical="center"/>
    </xf>
    <xf numFmtId="1" fontId="14" fillId="2" borderId="8" xfId="0" applyNumberFormat="1" applyFont="1" applyFill="1" applyBorder="1" applyAlignment="1">
      <alignment horizontal="center" vertical="center"/>
    </xf>
    <xf numFmtId="1" fontId="14" fillId="2" borderId="9" xfId="0" applyNumberFormat="1" applyFont="1" applyFill="1" applyBorder="1" applyAlignment="1">
      <alignment horizontal="center" vertical="center"/>
    </xf>
    <xf numFmtId="1" fontId="14" fillId="2" borderId="10" xfId="0" applyNumberFormat="1" applyFont="1" applyFill="1" applyBorder="1" applyAlignment="1">
      <alignment horizontal="center" vertical="center"/>
    </xf>
    <xf numFmtId="17" fontId="22" fillId="0" borderId="2" xfId="0" applyNumberFormat="1" applyFont="1" applyBorder="1" applyAlignment="1">
      <alignment horizontal="center"/>
    </xf>
    <xf numFmtId="17" fontId="22" fillId="0" borderId="3" xfId="0" applyNumberFormat="1" applyFont="1" applyBorder="1" applyAlignment="1">
      <alignment horizontal="center"/>
    </xf>
    <xf numFmtId="17" fontId="22" fillId="0" borderId="4" xfId="0" applyNumberFormat="1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43" fontId="15" fillId="7" borderId="5" xfId="0" applyNumberFormat="1" applyFont="1" applyFill="1" applyBorder="1" applyAlignment="1">
      <alignment horizontal="center" vertical="center"/>
    </xf>
    <xf numFmtId="43" fontId="15" fillId="7" borderId="6" xfId="0" applyNumberFormat="1" applyFont="1" applyFill="1" applyBorder="1" applyAlignment="1">
      <alignment horizontal="center" vertical="center"/>
    </xf>
    <xf numFmtId="43" fontId="15" fillId="7" borderId="7" xfId="0" applyNumberFormat="1" applyFont="1" applyFill="1" applyBorder="1" applyAlignment="1">
      <alignment horizontal="center" vertical="center"/>
    </xf>
    <xf numFmtId="43" fontId="15" fillId="7" borderId="11" xfId="0" applyNumberFormat="1" applyFont="1" applyFill="1" applyBorder="1" applyAlignment="1">
      <alignment horizontal="center" vertical="center"/>
    </xf>
    <xf numFmtId="43" fontId="15" fillId="7" borderId="0" xfId="0" applyNumberFormat="1" applyFont="1" applyFill="1" applyAlignment="1">
      <alignment horizontal="center" vertical="center"/>
    </xf>
    <xf numFmtId="43" fontId="15" fillId="7" borderId="12" xfId="0" applyNumberFormat="1" applyFont="1" applyFill="1" applyBorder="1" applyAlignment="1">
      <alignment horizontal="center" vertical="center"/>
    </xf>
    <xf numFmtId="43" fontId="15" fillId="7" borderId="8" xfId="0" applyNumberFormat="1" applyFont="1" applyFill="1" applyBorder="1" applyAlignment="1">
      <alignment horizontal="center" vertical="center"/>
    </xf>
    <xf numFmtId="43" fontId="15" fillId="7" borderId="9" xfId="0" applyNumberFormat="1" applyFont="1" applyFill="1" applyBorder="1" applyAlignment="1">
      <alignment horizontal="center" vertical="center"/>
    </xf>
    <xf numFmtId="43" fontId="15" fillId="7" borderId="10" xfId="0" applyNumberFormat="1" applyFont="1" applyFill="1" applyBorder="1" applyAlignment="1">
      <alignment horizontal="center" vertical="center"/>
    </xf>
    <xf numFmtId="164" fontId="16" fillId="7" borderId="1" xfId="1" applyFont="1" applyFill="1" applyBorder="1" applyAlignment="1">
      <alignment horizontal="center" vertical="center"/>
    </xf>
    <xf numFmtId="0" fontId="22" fillId="14" borderId="2" xfId="0" applyFont="1" applyFill="1" applyBorder="1" applyAlignment="1">
      <alignment horizontal="center"/>
    </xf>
    <xf numFmtId="0" fontId="22" fillId="14" borderId="3" xfId="0" applyFont="1" applyFill="1" applyBorder="1" applyAlignment="1">
      <alignment horizontal="center"/>
    </xf>
    <xf numFmtId="0" fontId="22" fillId="14" borderId="4" xfId="0" applyFont="1" applyFill="1" applyBorder="1" applyAlignment="1">
      <alignment horizontal="center"/>
    </xf>
    <xf numFmtId="17" fontId="22" fillId="14" borderId="2" xfId="0" applyNumberFormat="1" applyFont="1" applyFill="1" applyBorder="1" applyAlignment="1">
      <alignment horizontal="center"/>
    </xf>
    <xf numFmtId="17" fontId="22" fillId="14" borderId="3" xfId="0" applyNumberFormat="1" applyFont="1" applyFill="1" applyBorder="1" applyAlignment="1">
      <alignment horizontal="center"/>
    </xf>
    <xf numFmtId="17" fontId="22" fillId="14" borderId="4" xfId="0" applyNumberFormat="1" applyFont="1" applyFill="1" applyBorder="1" applyAlignment="1">
      <alignment horizontal="center"/>
    </xf>
    <xf numFmtId="0" fontId="22" fillId="13" borderId="2" xfId="0" applyFont="1" applyFill="1" applyBorder="1" applyAlignment="1">
      <alignment horizontal="center"/>
    </xf>
    <xf numFmtId="0" fontId="22" fillId="13" borderId="3" xfId="0" applyFont="1" applyFill="1" applyBorder="1" applyAlignment="1">
      <alignment horizontal="center"/>
    </xf>
    <xf numFmtId="0" fontId="22" fillId="13" borderId="4" xfId="0" applyFont="1" applyFill="1" applyBorder="1" applyAlignment="1">
      <alignment horizontal="center"/>
    </xf>
    <xf numFmtId="17" fontId="22" fillId="13" borderId="2" xfId="0" applyNumberFormat="1" applyFont="1" applyFill="1" applyBorder="1" applyAlignment="1">
      <alignment horizontal="center"/>
    </xf>
    <xf numFmtId="17" fontId="22" fillId="13" borderId="3" xfId="0" applyNumberFormat="1" applyFont="1" applyFill="1" applyBorder="1" applyAlignment="1">
      <alignment horizontal="center"/>
    </xf>
    <xf numFmtId="17" fontId="22" fillId="13" borderId="4" xfId="0" applyNumberFormat="1" applyFont="1" applyFill="1" applyBorder="1" applyAlignment="1">
      <alignment horizontal="center"/>
    </xf>
    <xf numFmtId="0" fontId="24" fillId="7" borderId="2" xfId="0" applyFont="1" applyFill="1" applyBorder="1" applyAlignment="1">
      <alignment horizontal="center"/>
    </xf>
    <xf numFmtId="0" fontId="24" fillId="7" borderId="3" xfId="0" applyFont="1" applyFill="1" applyBorder="1" applyAlignment="1">
      <alignment horizontal="center"/>
    </xf>
    <xf numFmtId="0" fontId="24" fillId="7" borderId="4" xfId="0" applyFont="1" applyFill="1" applyBorder="1" applyAlignment="1">
      <alignment horizontal="center"/>
    </xf>
    <xf numFmtId="17" fontId="24" fillId="7" borderId="2" xfId="0" applyNumberFormat="1" applyFont="1" applyFill="1" applyBorder="1" applyAlignment="1">
      <alignment horizontal="center"/>
    </xf>
    <xf numFmtId="17" fontId="24" fillId="7" borderId="3" xfId="0" applyNumberFormat="1" applyFont="1" applyFill="1" applyBorder="1" applyAlignment="1">
      <alignment horizontal="center"/>
    </xf>
    <xf numFmtId="17" fontId="24" fillId="7" borderId="4" xfId="0" applyNumberFormat="1" applyFont="1" applyFill="1" applyBorder="1" applyAlignment="1">
      <alignment horizontal="center"/>
    </xf>
    <xf numFmtId="17" fontId="24" fillId="11" borderId="2" xfId="0" applyNumberFormat="1" applyFont="1" applyFill="1" applyBorder="1" applyAlignment="1">
      <alignment horizontal="center"/>
    </xf>
    <xf numFmtId="17" fontId="24" fillId="11" borderId="3" xfId="0" applyNumberFormat="1" applyFont="1" applyFill="1" applyBorder="1" applyAlignment="1">
      <alignment horizontal="center"/>
    </xf>
    <xf numFmtId="17" fontId="24" fillId="11" borderId="4" xfId="0" applyNumberFormat="1" applyFont="1" applyFill="1" applyBorder="1" applyAlignment="1">
      <alignment horizontal="center"/>
    </xf>
    <xf numFmtId="0" fontId="24" fillId="11" borderId="2" xfId="0" applyFont="1" applyFill="1" applyBorder="1" applyAlignment="1">
      <alignment horizontal="center"/>
    </xf>
    <xf numFmtId="0" fontId="24" fillId="11" borderId="3" xfId="0" applyFont="1" applyFill="1" applyBorder="1" applyAlignment="1">
      <alignment horizontal="center"/>
    </xf>
    <xf numFmtId="0" fontId="24" fillId="11" borderId="4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24" fillId="4" borderId="14" xfId="0" applyFont="1" applyFill="1" applyBorder="1" applyAlignment="1">
      <alignment horizontal="center"/>
    </xf>
    <xf numFmtId="0" fontId="24" fillId="4" borderId="15" xfId="0" applyFont="1" applyFill="1" applyBorder="1" applyAlignment="1">
      <alignment horizontal="center"/>
    </xf>
    <xf numFmtId="0" fontId="24" fillId="4" borderId="16" xfId="0" applyFont="1" applyFill="1" applyBorder="1" applyAlignment="1">
      <alignment horizontal="center"/>
    </xf>
    <xf numFmtId="17" fontId="24" fillId="4" borderId="18" xfId="0" applyNumberFormat="1" applyFont="1" applyFill="1" applyBorder="1" applyAlignment="1">
      <alignment horizontal="center"/>
    </xf>
    <xf numFmtId="17" fontId="24" fillId="4" borderId="3" xfId="0" applyNumberFormat="1" applyFont="1" applyFill="1" applyBorder="1" applyAlignment="1">
      <alignment horizontal="center"/>
    </xf>
    <xf numFmtId="17" fontId="24" fillId="4" borderId="4" xfId="0" applyNumberFormat="1" applyFont="1" applyFill="1" applyBorder="1" applyAlignment="1">
      <alignment horizontal="center"/>
    </xf>
    <xf numFmtId="0" fontId="24" fillId="4" borderId="20" xfId="0" applyFont="1" applyFill="1" applyBorder="1" applyAlignment="1">
      <alignment horizontal="center"/>
    </xf>
    <xf numFmtId="0" fontId="24" fillId="4" borderId="21" xfId="0" applyFont="1" applyFill="1" applyBorder="1" applyAlignment="1">
      <alignment horizontal="center"/>
    </xf>
    <xf numFmtId="0" fontId="24" fillId="4" borderId="22" xfId="0" applyFont="1" applyFill="1" applyBorder="1" applyAlignment="1">
      <alignment horizontal="center"/>
    </xf>
    <xf numFmtId="0" fontId="28" fillId="18" borderId="2" xfId="0" applyFont="1" applyFill="1" applyBorder="1" applyAlignment="1">
      <alignment horizontal="center"/>
    </xf>
    <xf numFmtId="0" fontId="28" fillId="18" borderId="3" xfId="0" applyFont="1" applyFill="1" applyBorder="1" applyAlignment="1">
      <alignment horizontal="center"/>
    </xf>
    <xf numFmtId="0" fontId="28" fillId="18" borderId="4" xfId="0" applyFont="1" applyFill="1" applyBorder="1" applyAlignment="1">
      <alignment horizontal="center"/>
    </xf>
    <xf numFmtId="0" fontId="24" fillId="7" borderId="15" xfId="0" applyFont="1" applyFill="1" applyBorder="1" applyAlignment="1">
      <alignment horizontal="center"/>
    </xf>
    <xf numFmtId="0" fontId="24" fillId="7" borderId="16" xfId="0" applyFont="1" applyFill="1" applyBorder="1" applyAlignment="1">
      <alignment horizontal="center"/>
    </xf>
    <xf numFmtId="0" fontId="24" fillId="7" borderId="21" xfId="0" applyFont="1" applyFill="1" applyBorder="1" applyAlignment="1">
      <alignment horizontal="center"/>
    </xf>
    <xf numFmtId="0" fontId="24" fillId="7" borderId="22" xfId="0" applyFont="1" applyFill="1" applyBorder="1" applyAlignment="1">
      <alignment horizontal="center"/>
    </xf>
    <xf numFmtId="0" fontId="30" fillId="3" borderId="2" xfId="0" applyFont="1" applyFill="1" applyBorder="1" applyAlignment="1">
      <alignment horizontal="center"/>
    </xf>
    <xf numFmtId="0" fontId="30" fillId="3" borderId="3" xfId="0" applyFont="1" applyFill="1" applyBorder="1" applyAlignment="1">
      <alignment horizontal="center"/>
    </xf>
    <xf numFmtId="0" fontId="30" fillId="3" borderId="4" xfId="0" applyFont="1" applyFill="1" applyBorder="1" applyAlignment="1">
      <alignment horizontal="center"/>
    </xf>
    <xf numFmtId="164" fontId="20" fillId="13" borderId="2" xfId="1" applyFont="1" applyFill="1" applyBorder="1" applyAlignment="1">
      <alignment horizontal="center" vertical="center"/>
    </xf>
    <xf numFmtId="164" fontId="20" fillId="13" borderId="3" xfId="1" applyFont="1" applyFill="1" applyBorder="1" applyAlignment="1">
      <alignment horizontal="center" vertical="center"/>
    </xf>
    <xf numFmtId="164" fontId="20" fillId="13" borderId="4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DCE9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81"/>
  <sheetViews>
    <sheetView zoomScale="118" workbookViewId="0">
      <pane xSplit="2" ySplit="4" topLeftCell="H67" activePane="bottomRight" state="frozen"/>
      <selection pane="topRight" activeCell="B1" sqref="B1"/>
      <selection pane="bottomLeft" activeCell="A5" sqref="A5"/>
      <selection pane="bottomRight" activeCell="I58" sqref="I58"/>
    </sheetView>
  </sheetViews>
  <sheetFormatPr defaultRowHeight="14.5" x14ac:dyDescent="0.35"/>
  <cols>
    <col min="1" max="1" width="0.26953125" customWidth="1"/>
    <col min="2" max="2" width="4.1796875" style="5" customWidth="1"/>
    <col min="3" max="3" width="10.26953125" style="5" customWidth="1"/>
    <col min="4" max="4" width="10.6328125" style="1" customWidth="1"/>
    <col min="5" max="5" width="9.36328125" style="1" customWidth="1"/>
    <col min="6" max="6" width="9" style="1" customWidth="1"/>
    <col min="7" max="7" width="21.1796875" style="5" customWidth="1"/>
    <col min="8" max="8" width="19.7265625" style="3" customWidth="1"/>
    <col min="9" max="9" width="12.81640625" style="3" customWidth="1"/>
    <col min="10" max="10" width="16.36328125" style="2" customWidth="1"/>
    <col min="11" max="11" width="20.453125" style="2" customWidth="1"/>
    <col min="12" max="12" width="15.453125" style="6" customWidth="1"/>
    <col min="13" max="13" width="21" style="2" customWidth="1"/>
    <col min="14" max="14" width="12.1796875" customWidth="1"/>
  </cols>
  <sheetData>
    <row r="1" spans="2:14" x14ac:dyDescent="0.35">
      <c r="C1" s="319" t="s">
        <v>50</v>
      </c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</row>
    <row r="2" spans="2:14" x14ac:dyDescent="0.35">
      <c r="B2" s="22"/>
      <c r="C2" s="320">
        <v>45839</v>
      </c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</row>
    <row r="3" spans="2:14" x14ac:dyDescent="0.35">
      <c r="B3" s="22"/>
      <c r="C3" s="319" t="s">
        <v>51</v>
      </c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</row>
    <row r="4" spans="2:14" x14ac:dyDescent="0.35">
      <c r="B4" s="23" t="s">
        <v>7</v>
      </c>
      <c r="C4" s="24" t="s">
        <v>2</v>
      </c>
      <c r="D4" s="25" t="s">
        <v>3</v>
      </c>
      <c r="E4" s="25" t="s">
        <v>0</v>
      </c>
      <c r="F4" s="25" t="s">
        <v>1</v>
      </c>
      <c r="G4" s="24" t="s">
        <v>10</v>
      </c>
      <c r="H4" s="26" t="s">
        <v>9</v>
      </c>
      <c r="I4" s="26" t="s">
        <v>11</v>
      </c>
      <c r="J4" s="27" t="s">
        <v>18</v>
      </c>
      <c r="K4" s="25" t="s">
        <v>17</v>
      </c>
      <c r="L4" s="28" t="s">
        <v>5</v>
      </c>
      <c r="M4" s="25" t="s">
        <v>8</v>
      </c>
      <c r="N4" s="42" t="s">
        <v>6</v>
      </c>
    </row>
    <row r="5" spans="2:14" x14ac:dyDescent="0.35">
      <c r="B5" s="120">
        <v>1</v>
      </c>
      <c r="C5" s="121">
        <v>45852</v>
      </c>
      <c r="D5" s="122">
        <v>45852</v>
      </c>
      <c r="E5" s="123" t="s">
        <v>61</v>
      </c>
      <c r="F5" s="123">
        <v>0.83333333333333337</v>
      </c>
      <c r="G5" s="124">
        <v>548000</v>
      </c>
      <c r="H5" s="125">
        <v>548000</v>
      </c>
      <c r="I5" s="125" t="s">
        <v>12</v>
      </c>
      <c r="J5" s="126">
        <v>994873389797</v>
      </c>
      <c r="K5" s="126" t="s">
        <v>26</v>
      </c>
      <c r="L5" s="127" t="s">
        <v>15</v>
      </c>
      <c r="M5" s="128" t="s">
        <v>27</v>
      </c>
      <c r="N5" s="129" t="s">
        <v>14</v>
      </c>
    </row>
    <row r="6" spans="2:14" x14ac:dyDescent="0.35">
      <c r="B6" s="120">
        <v>2</v>
      </c>
      <c r="C6" s="121">
        <v>45852</v>
      </c>
      <c r="D6" s="122">
        <v>45852</v>
      </c>
      <c r="E6" s="123" t="s">
        <v>62</v>
      </c>
      <c r="F6" s="123">
        <v>0.83333333333333337</v>
      </c>
      <c r="G6" s="124">
        <v>1032000</v>
      </c>
      <c r="H6" s="125">
        <v>1032000</v>
      </c>
      <c r="I6" s="125" t="s">
        <v>12</v>
      </c>
      <c r="J6" s="126">
        <v>994873389797</v>
      </c>
      <c r="K6" s="126" t="s">
        <v>26</v>
      </c>
      <c r="L6" s="127" t="s">
        <v>16</v>
      </c>
      <c r="M6" s="128" t="s">
        <v>27</v>
      </c>
      <c r="N6" s="129" t="s">
        <v>13</v>
      </c>
    </row>
    <row r="7" spans="2:14" x14ac:dyDescent="0.35">
      <c r="B7" s="120">
        <v>3</v>
      </c>
      <c r="C7" s="121">
        <v>45852</v>
      </c>
      <c r="D7" s="122">
        <v>45853</v>
      </c>
      <c r="E7" s="123">
        <v>0.83472222222222225</v>
      </c>
      <c r="F7" s="123">
        <v>0.33402777777777776</v>
      </c>
      <c r="G7" s="124">
        <v>109000</v>
      </c>
      <c r="H7" s="125">
        <v>109000</v>
      </c>
      <c r="I7" s="125" t="s">
        <v>12</v>
      </c>
      <c r="J7" s="126">
        <v>994873389797</v>
      </c>
      <c r="K7" s="126" t="s">
        <v>26</v>
      </c>
      <c r="L7" s="127" t="s">
        <v>19</v>
      </c>
      <c r="M7" s="128" t="s">
        <v>27</v>
      </c>
      <c r="N7" s="129" t="s">
        <v>21</v>
      </c>
    </row>
    <row r="8" spans="2:14" x14ac:dyDescent="0.35">
      <c r="B8" s="120">
        <v>4</v>
      </c>
      <c r="C8" s="121">
        <v>45852</v>
      </c>
      <c r="D8" s="122">
        <v>45853</v>
      </c>
      <c r="E8" s="123">
        <v>0.83402777777777781</v>
      </c>
      <c r="F8" s="123">
        <v>0.3347222222222222</v>
      </c>
      <c r="G8" s="124">
        <v>346000</v>
      </c>
      <c r="H8" s="125">
        <v>346000</v>
      </c>
      <c r="I8" s="125" t="s">
        <v>12</v>
      </c>
      <c r="J8" s="126">
        <v>994873389797</v>
      </c>
      <c r="K8" s="126" t="s">
        <v>26</v>
      </c>
      <c r="L8" s="127" t="s">
        <v>20</v>
      </c>
      <c r="M8" s="128" t="s">
        <v>27</v>
      </c>
      <c r="N8" s="129" t="s">
        <v>13</v>
      </c>
    </row>
    <row r="9" spans="2:14" x14ac:dyDescent="0.35">
      <c r="B9" s="120">
        <v>5</v>
      </c>
      <c r="C9" s="122">
        <v>45853</v>
      </c>
      <c r="D9" s="122">
        <v>45853</v>
      </c>
      <c r="E9" s="123">
        <v>0.33333333333333331</v>
      </c>
      <c r="F9" s="123">
        <v>0.83472222222222225</v>
      </c>
      <c r="G9" s="124">
        <v>328000</v>
      </c>
      <c r="H9" s="125">
        <v>328000</v>
      </c>
      <c r="I9" s="125" t="s">
        <v>12</v>
      </c>
      <c r="J9" s="126">
        <v>994873391007</v>
      </c>
      <c r="K9" s="126" t="s">
        <v>28</v>
      </c>
      <c r="L9" s="127" t="s">
        <v>24</v>
      </c>
      <c r="M9" s="128" t="s">
        <v>27</v>
      </c>
      <c r="N9" s="129" t="s">
        <v>22</v>
      </c>
    </row>
    <row r="10" spans="2:14" x14ac:dyDescent="0.35">
      <c r="B10" s="120">
        <v>6</v>
      </c>
      <c r="C10" s="122">
        <v>45853</v>
      </c>
      <c r="D10" s="121">
        <v>45853</v>
      </c>
      <c r="E10" s="123">
        <v>0.3347222222222222</v>
      </c>
      <c r="F10" s="123">
        <v>0.83333333333333337</v>
      </c>
      <c r="G10" s="124">
        <v>1009000</v>
      </c>
      <c r="H10" s="125">
        <v>1009000</v>
      </c>
      <c r="I10" s="125" t="s">
        <v>12</v>
      </c>
      <c r="J10" s="126">
        <v>994873391007</v>
      </c>
      <c r="K10" s="126" t="s">
        <v>28</v>
      </c>
      <c r="L10" s="127" t="s">
        <v>25</v>
      </c>
      <c r="M10" s="128" t="s">
        <v>27</v>
      </c>
      <c r="N10" s="129" t="s">
        <v>23</v>
      </c>
    </row>
    <row r="11" spans="2:14" x14ac:dyDescent="0.35">
      <c r="B11" s="120">
        <v>7</v>
      </c>
      <c r="C11" s="121">
        <v>45853</v>
      </c>
      <c r="D11" s="122">
        <v>45854</v>
      </c>
      <c r="E11" s="123">
        <v>0.83333333333333337</v>
      </c>
      <c r="F11" s="123">
        <v>0.3347222222222222</v>
      </c>
      <c r="G11" s="124">
        <v>296000</v>
      </c>
      <c r="H11" s="125">
        <v>296000</v>
      </c>
      <c r="I11" s="125" t="s">
        <v>12</v>
      </c>
      <c r="J11" s="126">
        <v>994873391007</v>
      </c>
      <c r="K11" s="126" t="s">
        <v>28</v>
      </c>
      <c r="L11" s="127" t="s">
        <v>15</v>
      </c>
      <c r="M11" s="128" t="s">
        <v>27</v>
      </c>
      <c r="N11" s="129" t="s">
        <v>21</v>
      </c>
    </row>
    <row r="12" spans="2:14" x14ac:dyDescent="0.35">
      <c r="B12" s="120">
        <v>8</v>
      </c>
      <c r="C12" s="121">
        <v>45853</v>
      </c>
      <c r="D12" s="122">
        <v>45854</v>
      </c>
      <c r="E12" s="123">
        <v>0.83333333333333337</v>
      </c>
      <c r="F12" s="123">
        <v>0.3347222222222222</v>
      </c>
      <c r="G12" s="124">
        <v>436000</v>
      </c>
      <c r="H12" s="125">
        <v>436000</v>
      </c>
      <c r="I12" s="125" t="s">
        <v>12</v>
      </c>
      <c r="J12" s="126">
        <v>994873391007</v>
      </c>
      <c r="K12" s="126" t="s">
        <v>28</v>
      </c>
      <c r="L12" s="127" t="s">
        <v>16</v>
      </c>
      <c r="M12" s="128" t="s">
        <v>27</v>
      </c>
      <c r="N12" s="129" t="s">
        <v>13</v>
      </c>
    </row>
    <row r="13" spans="2:14" x14ac:dyDescent="0.35">
      <c r="B13" s="120">
        <v>9</v>
      </c>
      <c r="C13" s="122">
        <v>45854</v>
      </c>
      <c r="D13" s="121">
        <v>45854</v>
      </c>
      <c r="E13" s="123">
        <v>0.33333333333333331</v>
      </c>
      <c r="F13" s="123">
        <v>0.83472222222222225</v>
      </c>
      <c r="G13" s="124">
        <v>395000</v>
      </c>
      <c r="H13" s="125">
        <v>395000</v>
      </c>
      <c r="I13" s="125" t="s">
        <v>12</v>
      </c>
      <c r="J13" s="126">
        <v>994873391891</v>
      </c>
      <c r="K13" s="126" t="s">
        <v>29</v>
      </c>
      <c r="L13" s="127" t="s">
        <v>24</v>
      </c>
      <c r="M13" s="128" t="s">
        <v>27</v>
      </c>
      <c r="N13" s="129" t="s">
        <v>21</v>
      </c>
    </row>
    <row r="14" spans="2:14" x14ac:dyDescent="0.35">
      <c r="B14" s="120">
        <v>10</v>
      </c>
      <c r="C14" s="122">
        <v>45854</v>
      </c>
      <c r="D14" s="121">
        <v>45854</v>
      </c>
      <c r="E14" s="123">
        <v>0.33333333333333331</v>
      </c>
      <c r="F14" s="123">
        <v>0.83472222222222225</v>
      </c>
      <c r="G14" s="124">
        <v>910000</v>
      </c>
      <c r="H14" s="125">
        <v>910000</v>
      </c>
      <c r="I14" s="125" t="s">
        <v>12</v>
      </c>
      <c r="J14" s="126">
        <v>994873391891</v>
      </c>
      <c r="K14" s="126" t="s">
        <v>29</v>
      </c>
      <c r="L14" s="127" t="s">
        <v>25</v>
      </c>
      <c r="M14" s="128" t="s">
        <v>27</v>
      </c>
      <c r="N14" s="129" t="s">
        <v>13</v>
      </c>
    </row>
    <row r="15" spans="2:14" x14ac:dyDescent="0.35">
      <c r="B15" s="120">
        <v>11</v>
      </c>
      <c r="C15" s="122">
        <v>45854</v>
      </c>
      <c r="D15" s="121">
        <v>45855</v>
      </c>
      <c r="E15" s="123">
        <v>0.83333333333333337</v>
      </c>
      <c r="F15" s="123">
        <v>0.3347222222222222</v>
      </c>
      <c r="G15" s="124">
        <v>139000</v>
      </c>
      <c r="H15" s="125">
        <v>139000</v>
      </c>
      <c r="I15" s="125" t="s">
        <v>12</v>
      </c>
      <c r="J15" s="126">
        <v>994873391891</v>
      </c>
      <c r="K15" s="126" t="s">
        <v>29</v>
      </c>
      <c r="L15" s="127" t="s">
        <v>15</v>
      </c>
      <c r="M15" s="128" t="s">
        <v>27</v>
      </c>
      <c r="N15" s="129" t="s">
        <v>21</v>
      </c>
    </row>
    <row r="16" spans="2:14" x14ac:dyDescent="0.35">
      <c r="B16" s="120">
        <v>12</v>
      </c>
      <c r="C16" s="122">
        <v>45854</v>
      </c>
      <c r="D16" s="121">
        <v>45855</v>
      </c>
      <c r="E16" s="123">
        <v>0.83333333333333337</v>
      </c>
      <c r="F16" s="123">
        <v>0.3347222222222222</v>
      </c>
      <c r="G16" s="124">
        <v>408000</v>
      </c>
      <c r="H16" s="125">
        <v>408000</v>
      </c>
      <c r="I16" s="125" t="s">
        <v>12</v>
      </c>
      <c r="J16" s="126">
        <v>994873391891</v>
      </c>
      <c r="K16" s="126" t="s">
        <v>29</v>
      </c>
      <c r="L16" s="127" t="s">
        <v>16</v>
      </c>
      <c r="M16" s="128" t="s">
        <v>27</v>
      </c>
      <c r="N16" s="129" t="s">
        <v>13</v>
      </c>
    </row>
    <row r="17" spans="2:14" x14ac:dyDescent="0.35">
      <c r="B17" s="120">
        <v>13</v>
      </c>
      <c r="C17" s="122">
        <v>45855</v>
      </c>
      <c r="D17" s="121">
        <v>45855</v>
      </c>
      <c r="E17" s="123">
        <v>0.33333333333333331</v>
      </c>
      <c r="F17" s="123">
        <v>0.83472222222222225</v>
      </c>
      <c r="G17" s="124">
        <v>422000</v>
      </c>
      <c r="H17" s="125">
        <v>422000</v>
      </c>
      <c r="I17" s="125" t="s">
        <v>12</v>
      </c>
      <c r="J17" s="126">
        <v>994873393919</v>
      </c>
      <c r="K17" s="126" t="s">
        <v>30</v>
      </c>
      <c r="L17" s="127" t="s">
        <v>19</v>
      </c>
      <c r="M17" s="128" t="s">
        <v>27</v>
      </c>
      <c r="N17" s="129" t="s">
        <v>21</v>
      </c>
    </row>
    <row r="18" spans="2:14" x14ac:dyDescent="0.35">
      <c r="B18" s="120">
        <v>14</v>
      </c>
      <c r="C18" s="122">
        <v>45855</v>
      </c>
      <c r="D18" s="121">
        <v>45855</v>
      </c>
      <c r="E18" s="123">
        <v>0.33333333333333331</v>
      </c>
      <c r="F18" s="123">
        <v>0.83472222222222225</v>
      </c>
      <c r="G18" s="124">
        <v>1002000</v>
      </c>
      <c r="H18" s="125">
        <v>1002000</v>
      </c>
      <c r="I18" s="125" t="s">
        <v>12</v>
      </c>
      <c r="J18" s="126">
        <v>994873393919</v>
      </c>
      <c r="K18" s="126" t="s">
        <v>30</v>
      </c>
      <c r="L18" s="127" t="s">
        <v>20</v>
      </c>
      <c r="M18" s="128" t="s">
        <v>27</v>
      </c>
      <c r="N18" s="129" t="s">
        <v>13</v>
      </c>
    </row>
    <row r="19" spans="2:14" x14ac:dyDescent="0.35">
      <c r="B19" s="120">
        <v>15</v>
      </c>
      <c r="C19" s="122">
        <v>45855</v>
      </c>
      <c r="D19" s="121">
        <v>45856</v>
      </c>
      <c r="E19" s="123">
        <v>0.83333333333333337</v>
      </c>
      <c r="F19" s="123">
        <v>0.3347222222222222</v>
      </c>
      <c r="G19" s="124">
        <v>144000</v>
      </c>
      <c r="H19" s="125">
        <v>144000</v>
      </c>
      <c r="I19" s="125" t="s">
        <v>12</v>
      </c>
      <c r="J19" s="126">
        <v>994873393919</v>
      </c>
      <c r="K19" s="126" t="s">
        <v>30</v>
      </c>
      <c r="L19" s="127" t="s">
        <v>24</v>
      </c>
      <c r="M19" s="128" t="s">
        <v>27</v>
      </c>
      <c r="N19" s="129" t="s">
        <v>21</v>
      </c>
    </row>
    <row r="20" spans="2:14" x14ac:dyDescent="0.35">
      <c r="B20" s="120">
        <v>16</v>
      </c>
      <c r="C20" s="122">
        <v>45855</v>
      </c>
      <c r="D20" s="121">
        <v>45856</v>
      </c>
      <c r="E20" s="123">
        <v>0.83333333333333337</v>
      </c>
      <c r="F20" s="123">
        <v>0.3347222222222222</v>
      </c>
      <c r="G20" s="124">
        <v>519000</v>
      </c>
      <c r="H20" s="125">
        <v>519000</v>
      </c>
      <c r="I20" s="125" t="s">
        <v>12</v>
      </c>
      <c r="J20" s="126">
        <v>994873393919</v>
      </c>
      <c r="K20" s="126" t="s">
        <v>30</v>
      </c>
      <c r="L20" s="127" t="s">
        <v>25</v>
      </c>
      <c r="M20" s="128" t="s">
        <v>27</v>
      </c>
      <c r="N20" s="129" t="s">
        <v>13</v>
      </c>
    </row>
    <row r="21" spans="2:14" x14ac:dyDescent="0.35">
      <c r="B21" s="120">
        <v>17</v>
      </c>
      <c r="C21" s="122">
        <v>45856</v>
      </c>
      <c r="D21" s="122">
        <v>45856</v>
      </c>
      <c r="E21" s="123">
        <v>0.33333333333333331</v>
      </c>
      <c r="F21" s="123">
        <v>0.83333333333333337</v>
      </c>
      <c r="G21" s="124">
        <v>301000</v>
      </c>
      <c r="H21" s="125">
        <v>301000</v>
      </c>
      <c r="I21" s="125" t="s">
        <v>12</v>
      </c>
      <c r="J21" s="126">
        <v>994873395643</v>
      </c>
      <c r="K21" s="126" t="s">
        <v>34</v>
      </c>
      <c r="L21" s="127" t="s">
        <v>19</v>
      </c>
      <c r="M21" s="126" t="s">
        <v>27</v>
      </c>
      <c r="N21" s="129" t="s">
        <v>14</v>
      </c>
    </row>
    <row r="22" spans="2:14" x14ac:dyDescent="0.35">
      <c r="B22" s="120">
        <v>18</v>
      </c>
      <c r="C22" s="122">
        <v>45856</v>
      </c>
      <c r="D22" s="122">
        <v>45856</v>
      </c>
      <c r="E22" s="123">
        <v>0.33333333333333331</v>
      </c>
      <c r="F22" s="123">
        <v>0.83333333333333337</v>
      </c>
      <c r="G22" s="124">
        <v>1008000</v>
      </c>
      <c r="H22" s="125">
        <v>1008000</v>
      </c>
      <c r="I22" s="125" t="s">
        <v>12</v>
      </c>
      <c r="J22" s="126">
        <v>994873395643</v>
      </c>
      <c r="K22" s="126" t="s">
        <v>34</v>
      </c>
      <c r="L22" s="127" t="s">
        <v>20</v>
      </c>
      <c r="M22" s="126" t="s">
        <v>27</v>
      </c>
      <c r="N22" s="129" t="s">
        <v>13</v>
      </c>
    </row>
    <row r="23" spans="2:14" x14ac:dyDescent="0.35">
      <c r="B23" s="120">
        <v>19</v>
      </c>
      <c r="C23" s="122">
        <v>45856</v>
      </c>
      <c r="D23" s="122">
        <v>45857</v>
      </c>
      <c r="E23" s="123">
        <v>0.83333333333333337</v>
      </c>
      <c r="F23" s="123">
        <v>0.33333333333333331</v>
      </c>
      <c r="G23" s="124">
        <v>182000</v>
      </c>
      <c r="H23" s="125">
        <v>182000</v>
      </c>
      <c r="I23" s="125" t="s">
        <v>12</v>
      </c>
      <c r="J23" s="126">
        <v>994873395643</v>
      </c>
      <c r="K23" s="126" t="s">
        <v>34</v>
      </c>
      <c r="L23" s="127" t="s">
        <v>24</v>
      </c>
      <c r="M23" s="126" t="s">
        <v>27</v>
      </c>
      <c r="N23" s="129" t="s">
        <v>21</v>
      </c>
    </row>
    <row r="24" spans="2:14" x14ac:dyDescent="0.35">
      <c r="B24" s="120">
        <v>20</v>
      </c>
      <c r="C24" s="122">
        <v>45856</v>
      </c>
      <c r="D24" s="122">
        <v>45857</v>
      </c>
      <c r="E24" s="123">
        <v>0.83333333333333337</v>
      </c>
      <c r="F24" s="123">
        <v>0.33333333333333331</v>
      </c>
      <c r="G24" s="124">
        <v>448000</v>
      </c>
      <c r="H24" s="125">
        <v>448000</v>
      </c>
      <c r="I24" s="125" t="s">
        <v>12</v>
      </c>
      <c r="J24" s="126">
        <v>994873395643</v>
      </c>
      <c r="K24" s="126" t="s">
        <v>34</v>
      </c>
      <c r="L24" s="127" t="s">
        <v>25</v>
      </c>
      <c r="M24" s="126" t="s">
        <v>27</v>
      </c>
      <c r="N24" s="129" t="s">
        <v>13</v>
      </c>
    </row>
    <row r="25" spans="2:14" x14ac:dyDescent="0.35">
      <c r="B25" s="120">
        <v>21</v>
      </c>
      <c r="C25" s="122">
        <v>45857</v>
      </c>
      <c r="D25" s="122">
        <v>45857</v>
      </c>
      <c r="E25" s="123">
        <v>0.33333333333333331</v>
      </c>
      <c r="F25" s="123">
        <v>0.83333333333333337</v>
      </c>
      <c r="G25" s="124">
        <v>522000</v>
      </c>
      <c r="H25" s="125">
        <v>522000</v>
      </c>
      <c r="I25" s="125" t="s">
        <v>12</v>
      </c>
      <c r="J25" s="126">
        <v>994873396775</v>
      </c>
      <c r="K25" s="126" t="s">
        <v>32</v>
      </c>
      <c r="L25" s="127" t="s">
        <v>15</v>
      </c>
      <c r="M25" s="128" t="s">
        <v>27</v>
      </c>
      <c r="N25" s="129" t="s">
        <v>31</v>
      </c>
    </row>
    <row r="26" spans="2:14" x14ac:dyDescent="0.35">
      <c r="B26" s="120">
        <v>22</v>
      </c>
      <c r="C26" s="122">
        <v>45857</v>
      </c>
      <c r="D26" s="122">
        <v>45857</v>
      </c>
      <c r="E26" s="123">
        <v>0.33333333333333331</v>
      </c>
      <c r="F26" s="123">
        <v>0.83333333333333337</v>
      </c>
      <c r="G26" s="124">
        <v>979000</v>
      </c>
      <c r="H26" s="125">
        <v>979000</v>
      </c>
      <c r="I26" s="125" t="s">
        <v>12</v>
      </c>
      <c r="J26" s="126">
        <v>994873396775</v>
      </c>
      <c r="K26" s="126" t="s">
        <v>32</v>
      </c>
      <c r="L26" s="127" t="s">
        <v>16</v>
      </c>
      <c r="M26" s="128" t="s">
        <v>27</v>
      </c>
      <c r="N26" s="129" t="s">
        <v>13</v>
      </c>
    </row>
    <row r="27" spans="2:14" x14ac:dyDescent="0.35">
      <c r="B27" s="120">
        <v>23</v>
      </c>
      <c r="C27" s="122">
        <v>45857</v>
      </c>
      <c r="D27" s="122">
        <v>45858</v>
      </c>
      <c r="E27" s="123">
        <v>0.83333333333333337</v>
      </c>
      <c r="F27" s="123">
        <v>0.33333333333333331</v>
      </c>
      <c r="G27" s="124">
        <v>139000</v>
      </c>
      <c r="H27" s="125">
        <v>139000</v>
      </c>
      <c r="I27" s="125" t="s">
        <v>12</v>
      </c>
      <c r="J27" s="126">
        <v>994873396775</v>
      </c>
      <c r="K27" s="126" t="s">
        <v>32</v>
      </c>
      <c r="L27" s="127" t="s">
        <v>19</v>
      </c>
      <c r="M27" s="128" t="s">
        <v>27</v>
      </c>
      <c r="N27" s="129" t="s">
        <v>21</v>
      </c>
    </row>
    <row r="28" spans="2:14" x14ac:dyDescent="0.35">
      <c r="B28" s="120">
        <v>24</v>
      </c>
      <c r="C28" s="122">
        <v>45857</v>
      </c>
      <c r="D28" s="122">
        <v>45858</v>
      </c>
      <c r="E28" s="123">
        <v>0.83333333333333337</v>
      </c>
      <c r="F28" s="123">
        <v>0.33333333333333331</v>
      </c>
      <c r="G28" s="124">
        <v>439000</v>
      </c>
      <c r="H28" s="125">
        <v>439000</v>
      </c>
      <c r="I28" s="125" t="s">
        <v>12</v>
      </c>
      <c r="J28" s="126">
        <v>994873396775</v>
      </c>
      <c r="K28" s="126" t="s">
        <v>32</v>
      </c>
      <c r="L28" s="127" t="s">
        <v>20</v>
      </c>
      <c r="M28" s="128" t="s">
        <v>27</v>
      </c>
      <c r="N28" s="129" t="s">
        <v>13</v>
      </c>
    </row>
    <row r="29" spans="2:14" x14ac:dyDescent="0.35">
      <c r="B29" s="120">
        <v>21</v>
      </c>
      <c r="C29" s="122">
        <v>45858</v>
      </c>
      <c r="D29" s="122">
        <v>45858</v>
      </c>
      <c r="E29" s="123">
        <v>0.33333333333333331</v>
      </c>
      <c r="F29" s="123">
        <v>0.83333333333333337</v>
      </c>
      <c r="G29" s="124">
        <v>720000</v>
      </c>
      <c r="H29" s="125">
        <v>720000</v>
      </c>
      <c r="I29" s="125" t="s">
        <v>12</v>
      </c>
      <c r="J29" s="126">
        <v>994873398114</v>
      </c>
      <c r="K29" s="126" t="s">
        <v>33</v>
      </c>
      <c r="L29" s="127" t="s">
        <v>15</v>
      </c>
      <c r="M29" s="128" t="s">
        <v>27</v>
      </c>
      <c r="N29" s="129" t="s">
        <v>22</v>
      </c>
    </row>
    <row r="30" spans="2:14" x14ac:dyDescent="0.35">
      <c r="B30" s="120">
        <v>22</v>
      </c>
      <c r="C30" s="122">
        <v>45858</v>
      </c>
      <c r="D30" s="122">
        <v>45858</v>
      </c>
      <c r="E30" s="123">
        <v>0.33333333333333331</v>
      </c>
      <c r="F30" s="123">
        <v>0.83333333333333337</v>
      </c>
      <c r="G30" s="124">
        <v>1192000</v>
      </c>
      <c r="H30" s="125">
        <v>1192000</v>
      </c>
      <c r="I30" s="125" t="s">
        <v>12</v>
      </c>
      <c r="J30" s="126">
        <v>994873398114</v>
      </c>
      <c r="K30" s="126" t="s">
        <v>33</v>
      </c>
      <c r="L30" s="127" t="s">
        <v>16</v>
      </c>
      <c r="M30" s="128" t="s">
        <v>27</v>
      </c>
      <c r="N30" s="129" t="s">
        <v>13</v>
      </c>
    </row>
    <row r="31" spans="2:14" x14ac:dyDescent="0.35">
      <c r="B31" s="120">
        <v>23</v>
      </c>
      <c r="C31" s="122">
        <v>45858</v>
      </c>
      <c r="D31" s="122">
        <v>45859</v>
      </c>
      <c r="E31" s="123">
        <v>0.83333333333333337</v>
      </c>
      <c r="F31" s="123">
        <v>0.33333333333333331</v>
      </c>
      <c r="G31" s="124">
        <v>118000</v>
      </c>
      <c r="H31" s="125">
        <v>118000</v>
      </c>
      <c r="I31" s="125" t="s">
        <v>12</v>
      </c>
      <c r="J31" s="126">
        <v>994873398114</v>
      </c>
      <c r="K31" s="126" t="s">
        <v>33</v>
      </c>
      <c r="L31" s="127" t="s">
        <v>19</v>
      </c>
      <c r="M31" s="128" t="s">
        <v>27</v>
      </c>
      <c r="N31" s="129" t="s">
        <v>22</v>
      </c>
    </row>
    <row r="32" spans="2:14" x14ac:dyDescent="0.35">
      <c r="B32" s="120">
        <v>24</v>
      </c>
      <c r="C32" s="122">
        <v>45858</v>
      </c>
      <c r="D32" s="122">
        <v>45859</v>
      </c>
      <c r="E32" s="123">
        <v>0.83333333333333337</v>
      </c>
      <c r="F32" s="123">
        <v>0.33333333333333331</v>
      </c>
      <c r="G32" s="124">
        <v>648000</v>
      </c>
      <c r="H32" s="125">
        <v>648000</v>
      </c>
      <c r="I32" s="125" t="s">
        <v>12</v>
      </c>
      <c r="J32" s="126">
        <v>994873398114</v>
      </c>
      <c r="K32" s="126" t="s">
        <v>33</v>
      </c>
      <c r="L32" s="127" t="s">
        <v>20</v>
      </c>
      <c r="M32" s="128" t="s">
        <v>27</v>
      </c>
      <c r="N32" s="129" t="s">
        <v>13</v>
      </c>
    </row>
    <row r="33" spans="2:14" x14ac:dyDescent="0.35">
      <c r="B33" s="120">
        <v>25</v>
      </c>
      <c r="C33" s="122">
        <v>45859</v>
      </c>
      <c r="D33" s="122">
        <v>45859</v>
      </c>
      <c r="E33" s="123">
        <v>0.33333333333333331</v>
      </c>
      <c r="F33" s="123">
        <v>0.83333333333333337</v>
      </c>
      <c r="G33" s="124">
        <v>448000</v>
      </c>
      <c r="H33" s="125">
        <v>448000</v>
      </c>
      <c r="I33" s="125" t="s">
        <v>12</v>
      </c>
      <c r="J33" s="126">
        <v>994873400077</v>
      </c>
      <c r="K33" s="126" t="s">
        <v>38</v>
      </c>
      <c r="L33" s="127" t="s">
        <v>24</v>
      </c>
      <c r="M33" s="128" t="s">
        <v>27</v>
      </c>
      <c r="N33" s="129" t="s">
        <v>22</v>
      </c>
    </row>
    <row r="34" spans="2:14" x14ac:dyDescent="0.35">
      <c r="B34" s="120">
        <v>26</v>
      </c>
      <c r="C34" s="122">
        <v>45859</v>
      </c>
      <c r="D34" s="122">
        <v>45859</v>
      </c>
      <c r="E34" s="123">
        <v>0.33333333333333331</v>
      </c>
      <c r="F34" s="123">
        <v>0.83333333333333337</v>
      </c>
      <c r="G34" s="124">
        <v>900000</v>
      </c>
      <c r="H34" s="125">
        <v>900000</v>
      </c>
      <c r="I34" s="125" t="s">
        <v>12</v>
      </c>
      <c r="J34" s="126">
        <v>994873400077</v>
      </c>
      <c r="K34" s="126" t="s">
        <v>38</v>
      </c>
      <c r="L34" s="127" t="s">
        <v>25</v>
      </c>
      <c r="M34" s="128" t="s">
        <v>27</v>
      </c>
      <c r="N34" s="129" t="s">
        <v>13</v>
      </c>
    </row>
    <row r="35" spans="2:14" x14ac:dyDescent="0.35">
      <c r="B35" s="120">
        <v>27</v>
      </c>
      <c r="C35" s="122">
        <v>45859</v>
      </c>
      <c r="D35" s="122">
        <v>45860</v>
      </c>
      <c r="E35" s="123">
        <v>0.83333333333333337</v>
      </c>
      <c r="F35" s="123">
        <v>0.33333333333333331</v>
      </c>
      <c r="G35" s="124">
        <v>176000</v>
      </c>
      <c r="H35" s="125">
        <v>176000</v>
      </c>
      <c r="I35" s="125" t="s">
        <v>12</v>
      </c>
      <c r="J35" s="126">
        <v>994873400077</v>
      </c>
      <c r="K35" s="126" t="s">
        <v>38</v>
      </c>
      <c r="L35" s="127" t="s">
        <v>15</v>
      </c>
      <c r="M35" s="128" t="s">
        <v>27</v>
      </c>
      <c r="N35" s="129" t="s">
        <v>21</v>
      </c>
    </row>
    <row r="36" spans="2:14" ht="15.5" customHeight="1" x14ac:dyDescent="0.35">
      <c r="B36" s="120">
        <v>28</v>
      </c>
      <c r="C36" s="122">
        <v>45859</v>
      </c>
      <c r="D36" s="122">
        <v>45860</v>
      </c>
      <c r="E36" s="123">
        <v>0.83333333333333337</v>
      </c>
      <c r="F36" s="123">
        <v>0.33333333333333331</v>
      </c>
      <c r="G36" s="124">
        <v>323000</v>
      </c>
      <c r="H36" s="125">
        <v>323000</v>
      </c>
      <c r="I36" s="125" t="s">
        <v>12</v>
      </c>
      <c r="J36" s="126">
        <v>994873400077</v>
      </c>
      <c r="K36" s="126" t="s">
        <v>38</v>
      </c>
      <c r="L36" s="127" t="s">
        <v>16</v>
      </c>
      <c r="M36" s="128" t="s">
        <v>27</v>
      </c>
      <c r="N36" s="129" t="s">
        <v>13</v>
      </c>
    </row>
    <row r="37" spans="2:14" x14ac:dyDescent="0.35">
      <c r="B37" s="120">
        <v>29</v>
      </c>
      <c r="C37" s="122">
        <v>45860</v>
      </c>
      <c r="D37" s="122">
        <v>45860</v>
      </c>
      <c r="E37" s="123">
        <v>0.33333333333333331</v>
      </c>
      <c r="F37" s="123">
        <v>0.83333333333333337</v>
      </c>
      <c r="G37" s="124">
        <v>279000</v>
      </c>
      <c r="H37" s="125">
        <v>279000</v>
      </c>
      <c r="I37" s="125" t="s">
        <v>12</v>
      </c>
      <c r="J37" s="126">
        <v>994873401678</v>
      </c>
      <c r="K37" s="126" t="s">
        <v>37</v>
      </c>
      <c r="L37" s="127" t="s">
        <v>24</v>
      </c>
      <c r="M37" s="128" t="s">
        <v>27</v>
      </c>
      <c r="N37" s="129" t="s">
        <v>22</v>
      </c>
    </row>
    <row r="38" spans="2:14" x14ac:dyDescent="0.35">
      <c r="B38" s="120">
        <v>30</v>
      </c>
      <c r="C38" s="122">
        <v>45860</v>
      </c>
      <c r="D38" s="122">
        <v>45860</v>
      </c>
      <c r="E38" s="123">
        <v>0.33333333333333331</v>
      </c>
      <c r="F38" s="123">
        <v>0.83333333333333337</v>
      </c>
      <c r="G38" s="124">
        <v>949000</v>
      </c>
      <c r="H38" s="125">
        <v>949000</v>
      </c>
      <c r="I38" s="125" t="s">
        <v>12</v>
      </c>
      <c r="J38" s="126">
        <v>994873401678</v>
      </c>
      <c r="K38" s="126" t="s">
        <v>37</v>
      </c>
      <c r="L38" s="127" t="s">
        <v>25</v>
      </c>
      <c r="M38" s="128" t="s">
        <v>27</v>
      </c>
      <c r="N38" s="129" t="s">
        <v>13</v>
      </c>
    </row>
    <row r="39" spans="2:14" x14ac:dyDescent="0.35">
      <c r="B39" s="120">
        <v>31</v>
      </c>
      <c r="C39" s="122">
        <v>45860</v>
      </c>
      <c r="D39" s="122">
        <v>45861</v>
      </c>
      <c r="E39" s="123">
        <v>0.83333333333333337</v>
      </c>
      <c r="F39" s="123">
        <v>0.33333333333333331</v>
      </c>
      <c r="G39" s="124">
        <v>161000</v>
      </c>
      <c r="H39" s="125">
        <v>161000</v>
      </c>
      <c r="I39" s="125" t="s">
        <v>12</v>
      </c>
      <c r="J39" s="126">
        <v>994873401678</v>
      </c>
      <c r="K39" s="126" t="s">
        <v>37</v>
      </c>
      <c r="L39" s="127" t="s">
        <v>15</v>
      </c>
      <c r="M39" s="128" t="s">
        <v>27</v>
      </c>
      <c r="N39" s="129" t="s">
        <v>21</v>
      </c>
    </row>
    <row r="40" spans="2:14" x14ac:dyDescent="0.35">
      <c r="B40" s="120">
        <v>32</v>
      </c>
      <c r="C40" s="122">
        <v>45860</v>
      </c>
      <c r="D40" s="122">
        <v>45861</v>
      </c>
      <c r="E40" s="123">
        <v>0.83333333333333337</v>
      </c>
      <c r="F40" s="123">
        <v>0.33333333333333331</v>
      </c>
      <c r="G40" s="124">
        <v>285000</v>
      </c>
      <c r="H40" s="125">
        <v>285000</v>
      </c>
      <c r="I40" s="125" t="s">
        <v>12</v>
      </c>
      <c r="J40" s="126">
        <v>994873401678</v>
      </c>
      <c r="K40" s="126" t="s">
        <v>37</v>
      </c>
      <c r="L40" s="127" t="s">
        <v>16</v>
      </c>
      <c r="M40" s="128" t="s">
        <v>27</v>
      </c>
      <c r="N40" s="129" t="s">
        <v>13</v>
      </c>
    </row>
    <row r="41" spans="2:14" x14ac:dyDescent="0.35">
      <c r="B41" s="120">
        <v>33</v>
      </c>
      <c r="C41" s="122">
        <v>45861</v>
      </c>
      <c r="D41" s="122">
        <v>45861</v>
      </c>
      <c r="E41" s="123">
        <v>0.33333333333333331</v>
      </c>
      <c r="F41" s="123">
        <v>0.83333333333333337</v>
      </c>
      <c r="G41" s="124">
        <v>328000</v>
      </c>
      <c r="H41" s="125">
        <v>328000</v>
      </c>
      <c r="I41" s="125" t="s">
        <v>12</v>
      </c>
      <c r="J41" s="126">
        <v>994873403260</v>
      </c>
      <c r="K41" s="126" t="s">
        <v>36</v>
      </c>
      <c r="L41" s="127" t="s">
        <v>19</v>
      </c>
      <c r="M41" s="126" t="s">
        <v>27</v>
      </c>
      <c r="N41" s="129" t="s">
        <v>35</v>
      </c>
    </row>
    <row r="42" spans="2:14" x14ac:dyDescent="0.35">
      <c r="B42" s="120">
        <v>34</v>
      </c>
      <c r="C42" s="122">
        <v>45861</v>
      </c>
      <c r="D42" s="122">
        <v>45861</v>
      </c>
      <c r="E42" s="123">
        <v>0.33333333333333331</v>
      </c>
      <c r="F42" s="123">
        <v>0.83333333333333337</v>
      </c>
      <c r="G42" s="124">
        <v>938000</v>
      </c>
      <c r="H42" s="125">
        <v>938000</v>
      </c>
      <c r="I42" s="125" t="s">
        <v>12</v>
      </c>
      <c r="J42" s="126">
        <v>994873403260</v>
      </c>
      <c r="K42" s="126" t="s">
        <v>36</v>
      </c>
      <c r="L42" s="127" t="s">
        <v>20</v>
      </c>
      <c r="M42" s="126" t="s">
        <v>27</v>
      </c>
      <c r="N42" s="129" t="s">
        <v>13</v>
      </c>
    </row>
    <row r="43" spans="2:14" x14ac:dyDescent="0.35">
      <c r="B43" s="120">
        <v>35</v>
      </c>
      <c r="C43" s="122">
        <v>45861</v>
      </c>
      <c r="D43" s="122">
        <v>45862</v>
      </c>
      <c r="E43" s="123">
        <v>0.83333333333333337</v>
      </c>
      <c r="F43" s="123">
        <v>0.33333333333333331</v>
      </c>
      <c r="G43" s="124">
        <v>223000</v>
      </c>
      <c r="H43" s="125">
        <v>223000</v>
      </c>
      <c r="I43" s="125" t="s">
        <v>12</v>
      </c>
      <c r="J43" s="126">
        <v>994873403260</v>
      </c>
      <c r="K43" s="126" t="s">
        <v>36</v>
      </c>
      <c r="L43" s="127" t="s">
        <v>24</v>
      </c>
      <c r="M43" s="126" t="s">
        <v>27</v>
      </c>
      <c r="N43" s="129" t="s">
        <v>21</v>
      </c>
    </row>
    <row r="44" spans="2:14" x14ac:dyDescent="0.35">
      <c r="B44" s="120">
        <v>36</v>
      </c>
      <c r="C44" s="122">
        <v>45861</v>
      </c>
      <c r="D44" s="122">
        <v>45862</v>
      </c>
      <c r="E44" s="123">
        <v>0.83333333333333337</v>
      </c>
      <c r="F44" s="123">
        <v>0.33333333333333331</v>
      </c>
      <c r="G44" s="124">
        <v>484000</v>
      </c>
      <c r="H44" s="125">
        <v>484000</v>
      </c>
      <c r="I44" s="125" t="s">
        <v>12</v>
      </c>
      <c r="J44" s="126">
        <v>994873403260</v>
      </c>
      <c r="K44" s="126" t="s">
        <v>36</v>
      </c>
      <c r="L44" s="127" t="s">
        <v>25</v>
      </c>
      <c r="M44" s="126" t="s">
        <v>27</v>
      </c>
      <c r="N44" s="129" t="s">
        <v>13</v>
      </c>
    </row>
    <row r="45" spans="2:14" x14ac:dyDescent="0.35">
      <c r="B45" s="120">
        <v>37</v>
      </c>
      <c r="C45" s="122">
        <v>45862</v>
      </c>
      <c r="D45" s="122">
        <v>45862</v>
      </c>
      <c r="E45" s="123">
        <v>0.33333333333333331</v>
      </c>
      <c r="F45" s="123">
        <v>0.83333333333333337</v>
      </c>
      <c r="G45" s="124">
        <v>469000</v>
      </c>
      <c r="H45" s="125">
        <v>469000</v>
      </c>
      <c r="I45" s="125" t="s">
        <v>12</v>
      </c>
      <c r="J45" s="126">
        <v>994873404660</v>
      </c>
      <c r="K45" s="126" t="s">
        <v>41</v>
      </c>
      <c r="L45" s="127" t="s">
        <v>19</v>
      </c>
      <c r="M45" s="126" t="s">
        <v>27</v>
      </c>
      <c r="N45" s="129" t="s">
        <v>22</v>
      </c>
    </row>
    <row r="46" spans="2:14" x14ac:dyDescent="0.35">
      <c r="B46" s="120">
        <v>38</v>
      </c>
      <c r="C46" s="122">
        <v>45862</v>
      </c>
      <c r="D46" s="122">
        <v>45862</v>
      </c>
      <c r="E46" s="123">
        <v>0.33333333333333331</v>
      </c>
      <c r="F46" s="123">
        <v>0.83333333333333337</v>
      </c>
      <c r="G46" s="124">
        <v>953000</v>
      </c>
      <c r="H46" s="125">
        <v>953000</v>
      </c>
      <c r="I46" s="125" t="s">
        <v>12</v>
      </c>
      <c r="J46" s="126">
        <v>994873404660</v>
      </c>
      <c r="K46" s="126" t="s">
        <v>41</v>
      </c>
      <c r="L46" s="127" t="s">
        <v>20</v>
      </c>
      <c r="M46" s="126" t="s">
        <v>27</v>
      </c>
      <c r="N46" s="129" t="s">
        <v>13</v>
      </c>
    </row>
    <row r="47" spans="2:14" x14ac:dyDescent="0.35">
      <c r="B47" s="120">
        <v>39</v>
      </c>
      <c r="C47" s="122">
        <v>45862</v>
      </c>
      <c r="D47" s="122">
        <v>45863</v>
      </c>
      <c r="E47" s="123">
        <v>0.83333333333333337</v>
      </c>
      <c r="F47" s="123">
        <v>0.33333333333333331</v>
      </c>
      <c r="G47" s="124">
        <v>141000</v>
      </c>
      <c r="H47" s="125">
        <v>141000</v>
      </c>
      <c r="I47" s="125" t="s">
        <v>12</v>
      </c>
      <c r="J47" s="126">
        <v>994873404660</v>
      </c>
      <c r="K47" s="126" t="s">
        <v>41</v>
      </c>
      <c r="L47" s="127" t="s">
        <v>24</v>
      </c>
      <c r="M47" s="126" t="s">
        <v>27</v>
      </c>
      <c r="N47" s="129" t="s">
        <v>21</v>
      </c>
    </row>
    <row r="48" spans="2:14" x14ac:dyDescent="0.35">
      <c r="B48" s="120">
        <v>40</v>
      </c>
      <c r="C48" s="122">
        <v>45862</v>
      </c>
      <c r="D48" s="122">
        <v>45863</v>
      </c>
      <c r="E48" s="123">
        <v>0.83333333333333337</v>
      </c>
      <c r="F48" s="123">
        <v>0.33333333333333331</v>
      </c>
      <c r="G48" s="124">
        <v>554000</v>
      </c>
      <c r="H48" s="125">
        <v>554000</v>
      </c>
      <c r="I48" s="125" t="s">
        <v>12</v>
      </c>
      <c r="J48" s="126">
        <v>994873404660</v>
      </c>
      <c r="K48" s="126" t="s">
        <v>41</v>
      </c>
      <c r="L48" s="127" t="s">
        <v>25</v>
      </c>
      <c r="M48" s="126" t="s">
        <v>27</v>
      </c>
      <c r="N48" s="129" t="s">
        <v>13</v>
      </c>
    </row>
    <row r="49" spans="2:14" x14ac:dyDescent="0.35">
      <c r="B49" s="120">
        <v>41</v>
      </c>
      <c r="C49" s="122">
        <v>45863</v>
      </c>
      <c r="D49" s="122">
        <v>45863</v>
      </c>
      <c r="E49" s="123">
        <v>0.33333333333333331</v>
      </c>
      <c r="F49" s="123">
        <v>0.83333333333333337</v>
      </c>
      <c r="G49" s="124">
        <v>315000</v>
      </c>
      <c r="H49" s="125">
        <v>315000</v>
      </c>
      <c r="I49" s="125" t="s">
        <v>12</v>
      </c>
      <c r="J49" s="126">
        <v>994873406381</v>
      </c>
      <c r="K49" s="126" t="s">
        <v>40</v>
      </c>
      <c r="L49" s="127" t="s">
        <v>15</v>
      </c>
      <c r="M49" s="126" t="s">
        <v>27</v>
      </c>
      <c r="N49" s="129" t="s">
        <v>22</v>
      </c>
    </row>
    <row r="50" spans="2:14" x14ac:dyDescent="0.35">
      <c r="B50" s="120">
        <v>42</v>
      </c>
      <c r="C50" s="122">
        <v>45863</v>
      </c>
      <c r="D50" s="122">
        <v>45863</v>
      </c>
      <c r="E50" s="123">
        <v>0.33333333333333331</v>
      </c>
      <c r="F50" s="123">
        <v>0.83333333333333337</v>
      </c>
      <c r="G50" s="124">
        <v>1040000</v>
      </c>
      <c r="H50" s="125">
        <v>1040000</v>
      </c>
      <c r="I50" s="125" t="s">
        <v>12</v>
      </c>
      <c r="J50" s="126">
        <v>994873406381</v>
      </c>
      <c r="K50" s="126" t="s">
        <v>40</v>
      </c>
      <c r="L50" s="127" t="s">
        <v>16</v>
      </c>
      <c r="M50" s="126" t="s">
        <v>27</v>
      </c>
      <c r="N50" s="129" t="s">
        <v>13</v>
      </c>
    </row>
    <row r="51" spans="2:14" x14ac:dyDescent="0.35">
      <c r="B51" s="120">
        <v>43</v>
      </c>
      <c r="C51" s="122">
        <v>45863</v>
      </c>
      <c r="D51" s="122">
        <v>45864</v>
      </c>
      <c r="E51" s="123">
        <v>0.83333333333333337</v>
      </c>
      <c r="F51" s="123">
        <v>0.33333333333333331</v>
      </c>
      <c r="G51" s="124">
        <v>111000</v>
      </c>
      <c r="H51" s="125">
        <v>111000</v>
      </c>
      <c r="I51" s="125" t="s">
        <v>12</v>
      </c>
      <c r="J51" s="126">
        <v>994873406381</v>
      </c>
      <c r="K51" s="126" t="s">
        <v>40</v>
      </c>
      <c r="L51" s="127" t="s">
        <v>19</v>
      </c>
      <c r="M51" s="126" t="s">
        <v>27</v>
      </c>
      <c r="N51" s="129" t="s">
        <v>21</v>
      </c>
    </row>
    <row r="52" spans="2:14" x14ac:dyDescent="0.35">
      <c r="B52" s="120">
        <v>44</v>
      </c>
      <c r="C52" s="122">
        <v>45863</v>
      </c>
      <c r="D52" s="122">
        <v>45864</v>
      </c>
      <c r="E52" s="123">
        <v>0.83333333333333337</v>
      </c>
      <c r="F52" s="123">
        <v>0.33333333333333331</v>
      </c>
      <c r="G52" s="124">
        <v>371000</v>
      </c>
      <c r="H52" s="125">
        <v>371000</v>
      </c>
      <c r="I52" s="125" t="s">
        <v>12</v>
      </c>
      <c r="J52" s="126">
        <v>994873406381</v>
      </c>
      <c r="K52" s="126" t="s">
        <v>40</v>
      </c>
      <c r="L52" s="127" t="s">
        <v>20</v>
      </c>
      <c r="M52" s="126" t="s">
        <v>27</v>
      </c>
      <c r="N52" s="129" t="s">
        <v>13</v>
      </c>
    </row>
    <row r="53" spans="2:14" x14ac:dyDescent="0.35">
      <c r="B53" s="120">
        <v>45</v>
      </c>
      <c r="C53" s="122">
        <v>45864</v>
      </c>
      <c r="D53" s="122">
        <v>45864</v>
      </c>
      <c r="E53" s="123">
        <v>0.33333333333333331</v>
      </c>
      <c r="F53" s="123">
        <v>0.83333333333333337</v>
      </c>
      <c r="G53" s="124">
        <v>392000</v>
      </c>
      <c r="H53" s="125">
        <v>392000</v>
      </c>
      <c r="I53" s="125" t="s">
        <v>12</v>
      </c>
      <c r="J53" s="126">
        <v>994873407554</v>
      </c>
      <c r="K53" s="126" t="s">
        <v>42</v>
      </c>
      <c r="L53" s="127" t="s">
        <v>15</v>
      </c>
      <c r="M53" s="126" t="s">
        <v>27</v>
      </c>
      <c r="N53" s="129" t="s">
        <v>39</v>
      </c>
    </row>
    <row r="54" spans="2:14" x14ac:dyDescent="0.35">
      <c r="B54" s="120">
        <v>46</v>
      </c>
      <c r="C54" s="122">
        <v>45864</v>
      </c>
      <c r="D54" s="122">
        <v>45864</v>
      </c>
      <c r="E54" s="123">
        <v>0.33333333333333331</v>
      </c>
      <c r="F54" s="123">
        <v>0.83333333333333337</v>
      </c>
      <c r="G54" s="124">
        <v>1107000</v>
      </c>
      <c r="H54" s="125">
        <v>1107000</v>
      </c>
      <c r="I54" s="125" t="s">
        <v>12</v>
      </c>
      <c r="J54" s="126">
        <v>994873407554</v>
      </c>
      <c r="K54" s="126" t="s">
        <v>42</v>
      </c>
      <c r="L54" s="127" t="s">
        <v>16</v>
      </c>
      <c r="M54" s="126" t="s">
        <v>27</v>
      </c>
      <c r="N54" s="129" t="s">
        <v>13</v>
      </c>
    </row>
    <row r="55" spans="2:14" x14ac:dyDescent="0.35">
      <c r="B55" s="120">
        <v>47</v>
      </c>
      <c r="C55" s="122">
        <v>45864</v>
      </c>
      <c r="D55" s="122">
        <v>45865</v>
      </c>
      <c r="E55" s="123">
        <v>0.83333333333333337</v>
      </c>
      <c r="F55" s="123">
        <v>0.33333333333333331</v>
      </c>
      <c r="G55" s="124">
        <v>170000</v>
      </c>
      <c r="H55" s="125">
        <v>170000</v>
      </c>
      <c r="I55" s="125" t="s">
        <v>12</v>
      </c>
      <c r="J55" s="126">
        <v>994873407554</v>
      </c>
      <c r="K55" s="126" t="s">
        <v>42</v>
      </c>
      <c r="L55" s="127" t="s">
        <v>19</v>
      </c>
      <c r="M55" s="126" t="s">
        <v>27</v>
      </c>
      <c r="N55" s="129" t="s">
        <v>21</v>
      </c>
    </row>
    <row r="56" spans="2:14" x14ac:dyDescent="0.35">
      <c r="B56" s="120">
        <v>48</v>
      </c>
      <c r="C56" s="122">
        <v>45864</v>
      </c>
      <c r="D56" s="122">
        <v>45865</v>
      </c>
      <c r="E56" s="123">
        <v>0.83333333333333337</v>
      </c>
      <c r="F56" s="123">
        <v>0.33333333333333331</v>
      </c>
      <c r="G56" s="124">
        <v>346000</v>
      </c>
      <c r="H56" s="125">
        <v>346000</v>
      </c>
      <c r="I56" s="125" t="s">
        <v>12</v>
      </c>
      <c r="J56" s="126">
        <v>994873407554</v>
      </c>
      <c r="K56" s="126" t="s">
        <v>42</v>
      </c>
      <c r="L56" s="127" t="s">
        <v>25</v>
      </c>
      <c r="M56" s="126" t="s">
        <v>27</v>
      </c>
      <c r="N56" s="129" t="s">
        <v>13</v>
      </c>
    </row>
    <row r="57" spans="2:14" x14ac:dyDescent="0.35">
      <c r="B57" s="120">
        <v>49</v>
      </c>
      <c r="C57" s="122">
        <v>45865</v>
      </c>
      <c r="D57" s="122">
        <v>45865</v>
      </c>
      <c r="E57" s="123">
        <v>0.33333333333333331</v>
      </c>
      <c r="F57" s="123">
        <v>0.83333333333333337</v>
      </c>
      <c r="G57" s="124">
        <v>603000</v>
      </c>
      <c r="H57" s="125">
        <v>603000</v>
      </c>
      <c r="I57" s="125" t="s">
        <v>12</v>
      </c>
      <c r="J57" s="126">
        <v>994873408508</v>
      </c>
      <c r="K57" s="126" t="s">
        <v>44</v>
      </c>
      <c r="L57" s="127" t="s">
        <v>24</v>
      </c>
      <c r="M57" s="126" t="s">
        <v>27</v>
      </c>
      <c r="N57" s="129" t="s">
        <v>43</v>
      </c>
    </row>
    <row r="58" spans="2:14" x14ac:dyDescent="0.35">
      <c r="B58" s="120">
        <v>50</v>
      </c>
      <c r="C58" s="122">
        <v>45865</v>
      </c>
      <c r="D58" s="122">
        <v>45865</v>
      </c>
      <c r="E58" s="123">
        <v>0.33333333333333331</v>
      </c>
      <c r="F58" s="123">
        <v>0.83333333333333337</v>
      </c>
      <c r="G58" s="124">
        <v>1444000</v>
      </c>
      <c r="H58" s="125">
        <v>1444000</v>
      </c>
      <c r="I58" s="125" t="s">
        <v>12</v>
      </c>
      <c r="J58" s="126">
        <v>994873408508</v>
      </c>
      <c r="K58" s="126" t="s">
        <v>44</v>
      </c>
      <c r="L58" s="127" t="s">
        <v>25</v>
      </c>
      <c r="M58" s="126" t="s">
        <v>27</v>
      </c>
      <c r="N58" s="129" t="s">
        <v>13</v>
      </c>
    </row>
    <row r="59" spans="2:14" x14ac:dyDescent="0.35">
      <c r="B59" s="120">
        <v>51</v>
      </c>
      <c r="C59" s="122">
        <v>45865</v>
      </c>
      <c r="D59" s="122">
        <v>45866</v>
      </c>
      <c r="E59" s="123">
        <v>0.83333333333333337</v>
      </c>
      <c r="F59" s="123">
        <v>0.33333333333333331</v>
      </c>
      <c r="G59" s="124">
        <v>316000</v>
      </c>
      <c r="H59" s="125">
        <v>316000</v>
      </c>
      <c r="I59" s="125" t="s">
        <v>12</v>
      </c>
      <c r="J59" s="126">
        <v>994873408508</v>
      </c>
      <c r="K59" s="126" t="s">
        <v>44</v>
      </c>
      <c r="L59" s="127" t="s">
        <v>16</v>
      </c>
      <c r="M59" s="126" t="s">
        <v>27</v>
      </c>
      <c r="N59" s="129" t="s">
        <v>21</v>
      </c>
    </row>
    <row r="60" spans="2:14" x14ac:dyDescent="0.35">
      <c r="B60" s="120">
        <v>52</v>
      </c>
      <c r="C60" s="122">
        <v>45866</v>
      </c>
      <c r="D60" s="122">
        <v>45866</v>
      </c>
      <c r="E60" s="123">
        <v>0.83333333333333337</v>
      </c>
      <c r="F60" s="123">
        <v>0.33333333333333331</v>
      </c>
      <c r="G60" s="124">
        <v>636000</v>
      </c>
      <c r="H60" s="125">
        <v>636000</v>
      </c>
      <c r="I60" s="125" t="s">
        <v>12</v>
      </c>
      <c r="J60" s="126">
        <v>994873408508</v>
      </c>
      <c r="K60" s="126" t="s">
        <v>44</v>
      </c>
      <c r="L60" s="127" t="s">
        <v>15</v>
      </c>
      <c r="M60" s="126" t="s">
        <v>27</v>
      </c>
      <c r="N60" s="129" t="s">
        <v>13</v>
      </c>
    </row>
    <row r="61" spans="2:14" x14ac:dyDescent="0.35">
      <c r="B61" s="120">
        <v>53</v>
      </c>
      <c r="C61" s="122">
        <v>45866</v>
      </c>
      <c r="D61" s="122">
        <v>45866</v>
      </c>
      <c r="E61" s="123">
        <v>0.33333333333333331</v>
      </c>
      <c r="F61" s="123">
        <v>0.83333333333333337</v>
      </c>
      <c r="G61" s="124">
        <v>327000</v>
      </c>
      <c r="H61" s="125">
        <v>327000</v>
      </c>
      <c r="I61" s="125" t="s">
        <v>12</v>
      </c>
      <c r="J61" s="126">
        <v>994873411024</v>
      </c>
      <c r="K61" s="126" t="s">
        <v>49</v>
      </c>
      <c r="L61" s="127" t="s">
        <v>24</v>
      </c>
      <c r="M61" s="126" t="s">
        <v>27</v>
      </c>
      <c r="N61" s="129" t="s">
        <v>22</v>
      </c>
    </row>
    <row r="62" spans="2:14" x14ac:dyDescent="0.35">
      <c r="B62" s="120">
        <v>54</v>
      </c>
      <c r="C62" s="122">
        <v>45866</v>
      </c>
      <c r="D62" s="122">
        <v>45866</v>
      </c>
      <c r="E62" s="123">
        <v>0.33333333333333331</v>
      </c>
      <c r="F62" s="123">
        <v>0.83333333333333337</v>
      </c>
      <c r="G62" s="124">
        <v>1342000</v>
      </c>
      <c r="H62" s="125">
        <v>1342000</v>
      </c>
      <c r="I62" s="125" t="s">
        <v>12</v>
      </c>
      <c r="J62" s="126">
        <v>994873411024</v>
      </c>
      <c r="K62" s="126" t="s">
        <v>49</v>
      </c>
      <c r="L62" s="127" t="s">
        <v>25</v>
      </c>
      <c r="M62" s="126" t="s">
        <v>27</v>
      </c>
      <c r="N62" s="129" t="s">
        <v>13</v>
      </c>
    </row>
    <row r="63" spans="2:14" x14ac:dyDescent="0.35">
      <c r="B63" s="120">
        <v>55</v>
      </c>
      <c r="C63" s="122">
        <v>45866</v>
      </c>
      <c r="D63" s="122">
        <v>45867</v>
      </c>
      <c r="E63" s="123">
        <v>0.83333333333333337</v>
      </c>
      <c r="F63" s="123">
        <v>0.33333333333333331</v>
      </c>
      <c r="G63" s="124">
        <v>80000</v>
      </c>
      <c r="H63" s="125">
        <v>80000</v>
      </c>
      <c r="I63" s="125" t="s">
        <v>12</v>
      </c>
      <c r="J63" s="126">
        <v>994873411024</v>
      </c>
      <c r="K63" s="126" t="s">
        <v>49</v>
      </c>
      <c r="L63" s="127" t="s">
        <v>16</v>
      </c>
      <c r="M63" s="126" t="s">
        <v>27</v>
      </c>
      <c r="N63" s="129" t="s">
        <v>22</v>
      </c>
    </row>
    <row r="64" spans="2:14" x14ac:dyDescent="0.35">
      <c r="B64" s="120">
        <v>56</v>
      </c>
      <c r="C64" s="122">
        <v>45866</v>
      </c>
      <c r="D64" s="122">
        <v>45867</v>
      </c>
      <c r="E64" s="123">
        <v>0.83333333333333337</v>
      </c>
      <c r="F64" s="123">
        <v>0.33333333333333331</v>
      </c>
      <c r="G64" s="124">
        <v>373000</v>
      </c>
      <c r="H64" s="125">
        <v>373000</v>
      </c>
      <c r="I64" s="125" t="s">
        <v>12</v>
      </c>
      <c r="J64" s="126">
        <v>994873411024</v>
      </c>
      <c r="K64" s="126" t="s">
        <v>49</v>
      </c>
      <c r="L64" s="127" t="s">
        <v>15</v>
      </c>
      <c r="M64" s="126" t="s">
        <v>27</v>
      </c>
      <c r="N64" s="129" t="s">
        <v>13</v>
      </c>
    </row>
    <row r="65" spans="2:14" x14ac:dyDescent="0.35">
      <c r="B65" s="120">
        <v>57</v>
      </c>
      <c r="C65" s="122">
        <v>45867</v>
      </c>
      <c r="D65" s="122">
        <v>45867</v>
      </c>
      <c r="E65" s="123">
        <v>0.33333333333333331</v>
      </c>
      <c r="F65" s="123">
        <v>0.83333333333333337</v>
      </c>
      <c r="G65" s="124">
        <v>182000</v>
      </c>
      <c r="H65" s="125">
        <v>182000</v>
      </c>
      <c r="I65" s="125" t="s">
        <v>12</v>
      </c>
      <c r="J65" s="126">
        <v>994873413935</v>
      </c>
      <c r="K65" s="126" t="s">
        <v>47</v>
      </c>
      <c r="L65" s="127" t="s">
        <v>19</v>
      </c>
      <c r="M65" s="128" t="s">
        <v>27</v>
      </c>
      <c r="N65" s="129" t="s">
        <v>21</v>
      </c>
    </row>
    <row r="66" spans="2:14" x14ac:dyDescent="0.35">
      <c r="B66" s="120">
        <v>58</v>
      </c>
      <c r="C66" s="122">
        <v>45867</v>
      </c>
      <c r="D66" s="122">
        <v>45867</v>
      </c>
      <c r="E66" s="123">
        <v>0.33333333333333331</v>
      </c>
      <c r="F66" s="123">
        <v>0.83333333333333337</v>
      </c>
      <c r="G66" s="124">
        <v>1063000</v>
      </c>
      <c r="H66" s="125">
        <v>1063000</v>
      </c>
      <c r="I66" s="125" t="s">
        <v>12</v>
      </c>
      <c r="J66" s="126">
        <v>994873413935</v>
      </c>
      <c r="K66" s="126" t="s">
        <v>47</v>
      </c>
      <c r="L66" s="127" t="s">
        <v>20</v>
      </c>
      <c r="M66" s="128" t="s">
        <v>27</v>
      </c>
      <c r="N66" s="129" t="s">
        <v>46</v>
      </c>
    </row>
    <row r="67" spans="2:14" x14ac:dyDescent="0.35">
      <c r="B67" s="120">
        <v>59</v>
      </c>
      <c r="C67" s="122">
        <v>45867</v>
      </c>
      <c r="D67" s="122">
        <v>45868</v>
      </c>
      <c r="E67" s="123">
        <v>0.83333333333333337</v>
      </c>
      <c r="F67" s="123">
        <v>0.33333333333333331</v>
      </c>
      <c r="G67" s="124">
        <v>228000</v>
      </c>
      <c r="H67" s="125">
        <v>228000</v>
      </c>
      <c r="I67" s="125" t="s">
        <v>12</v>
      </c>
      <c r="J67" s="126">
        <v>994873413935</v>
      </c>
      <c r="K67" s="126" t="s">
        <v>47</v>
      </c>
      <c r="L67" s="127" t="s">
        <v>24</v>
      </c>
      <c r="M67" s="128" t="s">
        <v>27</v>
      </c>
      <c r="N67" s="129" t="s">
        <v>21</v>
      </c>
    </row>
    <row r="68" spans="2:14" x14ac:dyDescent="0.35">
      <c r="B68" s="120">
        <v>60</v>
      </c>
      <c r="C68" s="122">
        <v>45867</v>
      </c>
      <c r="D68" s="122">
        <v>45868</v>
      </c>
      <c r="E68" s="123">
        <v>0.83333333333333337</v>
      </c>
      <c r="F68" s="123">
        <v>0.33333333333333331</v>
      </c>
      <c r="G68" s="124">
        <v>395000</v>
      </c>
      <c r="H68" s="125">
        <v>395000</v>
      </c>
      <c r="I68" s="125" t="s">
        <v>12</v>
      </c>
      <c r="J68" s="126">
        <v>994873413935</v>
      </c>
      <c r="K68" s="126" t="s">
        <v>47</v>
      </c>
      <c r="L68" s="127" t="s">
        <v>25</v>
      </c>
      <c r="M68" s="128" t="s">
        <v>27</v>
      </c>
      <c r="N68" s="129" t="s">
        <v>13</v>
      </c>
    </row>
    <row r="69" spans="2:14" x14ac:dyDescent="0.35">
      <c r="B69" s="120">
        <v>61</v>
      </c>
      <c r="C69" s="122">
        <v>45868</v>
      </c>
      <c r="D69" s="122">
        <v>45868</v>
      </c>
      <c r="E69" s="123">
        <v>0.33333333333333331</v>
      </c>
      <c r="F69" s="123">
        <v>0.83333333333333337</v>
      </c>
      <c r="G69" s="124">
        <v>270000</v>
      </c>
      <c r="H69" s="125">
        <v>270000</v>
      </c>
      <c r="I69" s="125" t="s">
        <v>12</v>
      </c>
      <c r="J69" s="126">
        <v>994873413695</v>
      </c>
      <c r="K69" s="126" t="s">
        <v>48</v>
      </c>
      <c r="L69" s="127" t="s">
        <v>19</v>
      </c>
      <c r="M69" s="128" t="s">
        <v>27</v>
      </c>
      <c r="N69" s="129" t="s">
        <v>39</v>
      </c>
    </row>
    <row r="70" spans="2:14" x14ac:dyDescent="0.35">
      <c r="B70" s="120">
        <v>62</v>
      </c>
      <c r="C70" s="122">
        <v>45868</v>
      </c>
      <c r="D70" s="122">
        <v>45868</v>
      </c>
      <c r="E70" s="123">
        <v>0.33333333333333331</v>
      </c>
      <c r="F70" s="123">
        <v>0.83333333333333337</v>
      </c>
      <c r="G70" s="124">
        <v>887000</v>
      </c>
      <c r="H70" s="125">
        <v>887000</v>
      </c>
      <c r="I70" s="125" t="s">
        <v>12</v>
      </c>
      <c r="J70" s="126">
        <v>994873413695</v>
      </c>
      <c r="K70" s="126" t="s">
        <v>48</v>
      </c>
      <c r="L70" s="127" t="s">
        <v>20</v>
      </c>
      <c r="M70" s="128" t="s">
        <v>27</v>
      </c>
      <c r="N70" s="129" t="s">
        <v>13</v>
      </c>
    </row>
    <row r="71" spans="2:14" x14ac:dyDescent="0.35">
      <c r="B71" s="120">
        <v>63</v>
      </c>
      <c r="C71" s="122">
        <v>45868</v>
      </c>
      <c r="D71" s="122">
        <v>45869</v>
      </c>
      <c r="E71" s="123">
        <v>0.83333333333333337</v>
      </c>
      <c r="F71" s="123">
        <v>0.33333333333333331</v>
      </c>
      <c r="G71" s="124">
        <v>243000</v>
      </c>
      <c r="H71" s="125">
        <v>243000</v>
      </c>
      <c r="I71" s="125" t="s">
        <v>12</v>
      </c>
      <c r="J71" s="126">
        <v>994873413695</v>
      </c>
      <c r="K71" s="126" t="s">
        <v>48</v>
      </c>
      <c r="L71" s="127" t="s">
        <v>24</v>
      </c>
      <c r="M71" s="128" t="s">
        <v>27</v>
      </c>
      <c r="N71" s="129" t="s">
        <v>21</v>
      </c>
    </row>
    <row r="72" spans="2:14" x14ac:dyDescent="0.35">
      <c r="B72" s="120">
        <v>64</v>
      </c>
      <c r="C72" s="122">
        <v>45868</v>
      </c>
      <c r="D72" s="122">
        <v>45869</v>
      </c>
      <c r="E72" s="123">
        <v>0.83333333333333337</v>
      </c>
      <c r="F72" s="123">
        <v>0.33333333333333331</v>
      </c>
      <c r="G72" s="124">
        <v>362000</v>
      </c>
      <c r="H72" s="125">
        <v>362000</v>
      </c>
      <c r="I72" s="125" t="s">
        <v>12</v>
      </c>
      <c r="J72" s="126">
        <v>994873413695</v>
      </c>
      <c r="K72" s="126" t="s">
        <v>48</v>
      </c>
      <c r="L72" s="127" t="s">
        <v>25</v>
      </c>
      <c r="M72" s="128" t="s">
        <v>27</v>
      </c>
      <c r="N72" s="129" t="s">
        <v>13</v>
      </c>
    </row>
    <row r="73" spans="2:14" x14ac:dyDescent="0.35">
      <c r="B73" s="120">
        <v>65</v>
      </c>
      <c r="C73" s="122">
        <v>45869</v>
      </c>
      <c r="D73" s="122">
        <v>45869</v>
      </c>
      <c r="E73" s="123">
        <v>0.33333333333333331</v>
      </c>
      <c r="F73" s="123">
        <v>0.83333333333333337</v>
      </c>
      <c r="G73" s="124">
        <v>297000</v>
      </c>
      <c r="H73" s="125">
        <v>297000</v>
      </c>
      <c r="I73" s="125" t="s">
        <v>12</v>
      </c>
      <c r="J73" s="126">
        <v>994873418260</v>
      </c>
      <c r="K73" s="126" t="s">
        <v>60</v>
      </c>
      <c r="L73" s="127" t="s">
        <v>16</v>
      </c>
      <c r="M73" s="128" t="s">
        <v>27</v>
      </c>
      <c r="N73" s="129" t="s">
        <v>21</v>
      </c>
    </row>
    <row r="74" spans="2:14" x14ac:dyDescent="0.35">
      <c r="B74" s="120">
        <v>66</v>
      </c>
      <c r="C74" s="122">
        <v>45869</v>
      </c>
      <c r="D74" s="122">
        <v>45869</v>
      </c>
      <c r="E74" s="123">
        <v>0.33333333333333331</v>
      </c>
      <c r="F74" s="123">
        <v>0.83333333333333337</v>
      </c>
      <c r="G74" s="124">
        <v>946000</v>
      </c>
      <c r="H74" s="125">
        <v>946000</v>
      </c>
      <c r="I74" s="125" t="s">
        <v>12</v>
      </c>
      <c r="J74" s="126">
        <v>994873418260</v>
      </c>
      <c r="K74" s="126" t="s">
        <v>60</v>
      </c>
      <c r="L74" s="127" t="s">
        <v>15</v>
      </c>
      <c r="M74" s="128" t="s">
        <v>27</v>
      </c>
      <c r="N74" s="129" t="s">
        <v>13</v>
      </c>
    </row>
    <row r="75" spans="2:14" x14ac:dyDescent="0.35">
      <c r="B75" s="120">
        <v>67</v>
      </c>
      <c r="C75" s="122">
        <v>45869</v>
      </c>
      <c r="D75" s="122">
        <v>45870</v>
      </c>
      <c r="E75" s="123">
        <v>0.83333333333333337</v>
      </c>
      <c r="F75" s="123">
        <v>0.33333333333333331</v>
      </c>
      <c r="G75" s="124">
        <v>206000</v>
      </c>
      <c r="H75" s="125">
        <v>206000</v>
      </c>
      <c r="I75" s="125" t="s">
        <v>12</v>
      </c>
      <c r="J75" s="126">
        <v>994873418260</v>
      </c>
      <c r="K75" s="126" t="s">
        <v>60</v>
      </c>
      <c r="L75" s="127" t="s">
        <v>19</v>
      </c>
      <c r="M75" s="128" t="s">
        <v>27</v>
      </c>
      <c r="N75" s="129" t="s">
        <v>21</v>
      </c>
    </row>
    <row r="76" spans="2:14" x14ac:dyDescent="0.35">
      <c r="B76" s="120">
        <v>68</v>
      </c>
      <c r="C76" s="122">
        <v>45869</v>
      </c>
      <c r="D76" s="122">
        <v>45870</v>
      </c>
      <c r="E76" s="123">
        <v>0.83333333333333337</v>
      </c>
      <c r="F76" s="123">
        <v>0.33333333333333331</v>
      </c>
      <c r="G76" s="124">
        <v>409000</v>
      </c>
      <c r="H76" s="125">
        <v>409000</v>
      </c>
      <c r="I76" s="125" t="s">
        <v>12</v>
      </c>
      <c r="J76" s="126">
        <v>994873418260</v>
      </c>
      <c r="K76" s="126" t="s">
        <v>60</v>
      </c>
      <c r="L76" s="127" t="s">
        <v>20</v>
      </c>
      <c r="M76" s="128" t="s">
        <v>27</v>
      </c>
      <c r="N76" s="129" t="s">
        <v>13</v>
      </c>
    </row>
    <row r="77" spans="2:14" x14ac:dyDescent="0.35">
      <c r="B77" s="23"/>
      <c r="C77" s="86"/>
      <c r="D77" s="87"/>
      <c r="E77" s="88"/>
      <c r="F77" s="88" t="s">
        <v>4</v>
      </c>
      <c r="G77" s="89">
        <f>SUM(G5:G76)</f>
        <v>36811000</v>
      </c>
      <c r="H77" s="26">
        <f>G77</f>
        <v>36811000</v>
      </c>
      <c r="I77" s="26" t="s">
        <v>12</v>
      </c>
      <c r="J77" s="27"/>
      <c r="K77" s="27"/>
      <c r="L77" s="28"/>
      <c r="M77" s="25"/>
      <c r="N77" s="42"/>
    </row>
    <row r="81" spans="10:11" x14ac:dyDescent="0.35">
      <c r="J81" s="4"/>
      <c r="K81" s="4"/>
    </row>
  </sheetData>
  <mergeCells count="3">
    <mergeCell ref="C3:N3"/>
    <mergeCell ref="C1:N1"/>
    <mergeCell ref="C2:N2"/>
  </mergeCells>
  <phoneticPr fontId="2" type="noConversion"/>
  <pageMargins left="0.7" right="0.7" top="0.75" bottom="0.75" header="0.3" footer="0.3"/>
  <pageSetup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BC32F-909D-4142-BEA4-6342719D5F62}">
  <dimension ref="A1:M129"/>
  <sheetViews>
    <sheetView topLeftCell="E121" workbookViewId="0">
      <selection activeCell="I88" sqref="I88"/>
    </sheetView>
  </sheetViews>
  <sheetFormatPr defaultRowHeight="14.5" x14ac:dyDescent="0.35"/>
  <cols>
    <col min="1" max="1" width="7.1796875" style="1" customWidth="1"/>
    <col min="2" max="2" width="10.453125" customWidth="1"/>
    <col min="3" max="3" width="13.54296875" customWidth="1"/>
    <col min="4" max="4" width="10.81640625" customWidth="1"/>
    <col min="5" max="5" width="12" customWidth="1"/>
    <col min="6" max="6" width="20.6328125" style="9" customWidth="1"/>
    <col min="7" max="7" width="20.26953125" customWidth="1"/>
    <col min="8" max="8" width="14.6328125" customWidth="1"/>
    <col min="9" max="9" width="15.7265625" customWidth="1"/>
    <col min="10" max="10" width="21.6328125" customWidth="1"/>
    <col min="11" max="11" width="18.54296875" customWidth="1"/>
    <col min="12" max="12" width="21.453125" customWidth="1"/>
    <col min="13" max="13" width="17.6328125" style="8" customWidth="1"/>
  </cols>
  <sheetData>
    <row r="1" spans="1:13" ht="17.5" customHeight="1" x14ac:dyDescent="0.35">
      <c r="B1" s="321" t="s">
        <v>50</v>
      </c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3"/>
    </row>
    <row r="2" spans="1:13" ht="15" x14ac:dyDescent="0.35">
      <c r="B2" s="324">
        <v>45870</v>
      </c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6"/>
    </row>
    <row r="3" spans="1:13" ht="15" x14ac:dyDescent="0.35">
      <c r="B3" s="321" t="s">
        <v>51</v>
      </c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3"/>
    </row>
    <row r="4" spans="1:13" x14ac:dyDescent="0.35">
      <c r="A4" s="10" t="s">
        <v>52</v>
      </c>
      <c r="B4" s="11" t="s">
        <v>2</v>
      </c>
      <c r="C4" s="12" t="s">
        <v>3</v>
      </c>
      <c r="D4" s="12" t="s">
        <v>0</v>
      </c>
      <c r="E4" s="12" t="s">
        <v>1</v>
      </c>
      <c r="F4" s="13" t="s">
        <v>10</v>
      </c>
      <c r="G4" s="14" t="s">
        <v>9</v>
      </c>
      <c r="H4" s="14" t="s">
        <v>11</v>
      </c>
      <c r="I4" s="15" t="s">
        <v>18</v>
      </c>
      <c r="J4" s="12" t="s">
        <v>17</v>
      </c>
      <c r="K4" s="16" t="s">
        <v>5</v>
      </c>
      <c r="L4" s="12" t="s">
        <v>8</v>
      </c>
      <c r="M4" s="17" t="s">
        <v>6</v>
      </c>
    </row>
    <row r="5" spans="1:13" x14ac:dyDescent="0.35">
      <c r="A5" s="31">
        <v>1</v>
      </c>
      <c r="B5" s="32">
        <v>45870</v>
      </c>
      <c r="C5" s="32">
        <v>45870</v>
      </c>
      <c r="D5" s="33">
        <v>0.33333333333333331</v>
      </c>
      <c r="E5" s="33">
        <v>0.83333333333333337</v>
      </c>
      <c r="F5" s="34">
        <v>410000</v>
      </c>
      <c r="G5" s="35">
        <v>410000</v>
      </c>
      <c r="H5" s="35" t="s">
        <v>12</v>
      </c>
      <c r="I5" s="36">
        <v>994873418264</v>
      </c>
      <c r="J5" s="36" t="s">
        <v>54</v>
      </c>
      <c r="K5" s="37" t="s">
        <v>16</v>
      </c>
      <c r="L5" s="31" t="s">
        <v>27</v>
      </c>
      <c r="M5" s="38" t="s">
        <v>22</v>
      </c>
    </row>
    <row r="6" spans="1:13" x14ac:dyDescent="0.35">
      <c r="A6" s="31">
        <v>2</v>
      </c>
      <c r="B6" s="32">
        <v>45870</v>
      </c>
      <c r="C6" s="32">
        <v>45870</v>
      </c>
      <c r="D6" s="33">
        <v>0.33333333333333331</v>
      </c>
      <c r="E6" s="33">
        <v>0.83333333333333337</v>
      </c>
      <c r="F6" s="34">
        <v>1196000</v>
      </c>
      <c r="G6" s="35">
        <v>1196000</v>
      </c>
      <c r="H6" s="35" t="s">
        <v>12</v>
      </c>
      <c r="I6" s="36">
        <v>994873418264</v>
      </c>
      <c r="J6" s="36" t="s">
        <v>54</v>
      </c>
      <c r="K6" s="37" t="s">
        <v>15</v>
      </c>
      <c r="L6" s="31" t="s">
        <v>27</v>
      </c>
      <c r="M6" s="38" t="s">
        <v>13</v>
      </c>
    </row>
    <row r="7" spans="1:13" x14ac:dyDescent="0.35">
      <c r="A7" s="31">
        <v>3</v>
      </c>
      <c r="B7" s="32">
        <v>45870</v>
      </c>
      <c r="C7" s="32">
        <v>45871</v>
      </c>
      <c r="D7" s="33">
        <v>0.83333333333333337</v>
      </c>
      <c r="E7" s="33">
        <v>0.33333333333333331</v>
      </c>
      <c r="F7" s="34">
        <v>172000</v>
      </c>
      <c r="G7" s="35">
        <v>172000</v>
      </c>
      <c r="H7" s="35" t="s">
        <v>12</v>
      </c>
      <c r="I7" s="36">
        <v>994873418264</v>
      </c>
      <c r="J7" s="36" t="s">
        <v>54</v>
      </c>
      <c r="K7" s="37" t="s">
        <v>19</v>
      </c>
      <c r="L7" s="31" t="s">
        <v>27</v>
      </c>
      <c r="M7" s="38" t="s">
        <v>21</v>
      </c>
    </row>
    <row r="8" spans="1:13" x14ac:dyDescent="0.35">
      <c r="A8" s="31">
        <v>4</v>
      </c>
      <c r="B8" s="32">
        <v>45870</v>
      </c>
      <c r="C8" s="32">
        <v>45871</v>
      </c>
      <c r="D8" s="33">
        <v>0.83333333333333337</v>
      </c>
      <c r="E8" s="33">
        <v>0.33333333333333331</v>
      </c>
      <c r="F8" s="34">
        <v>470000</v>
      </c>
      <c r="G8" s="35">
        <v>470000</v>
      </c>
      <c r="H8" s="35" t="s">
        <v>12</v>
      </c>
      <c r="I8" s="36">
        <v>994873418264</v>
      </c>
      <c r="J8" s="36" t="s">
        <v>54</v>
      </c>
      <c r="K8" s="37" t="s">
        <v>20</v>
      </c>
      <c r="L8" s="31" t="s">
        <v>27</v>
      </c>
      <c r="M8" s="38" t="s">
        <v>13</v>
      </c>
    </row>
    <row r="9" spans="1:13" x14ac:dyDescent="0.35">
      <c r="A9" s="31">
        <v>5</v>
      </c>
      <c r="B9" s="32">
        <v>45871</v>
      </c>
      <c r="C9" s="32">
        <v>45871</v>
      </c>
      <c r="D9" s="33">
        <v>0.33333333333333331</v>
      </c>
      <c r="E9" s="33">
        <v>0.83333333333333337</v>
      </c>
      <c r="F9" s="39">
        <v>313000</v>
      </c>
      <c r="G9" s="39">
        <v>313000</v>
      </c>
      <c r="H9" s="35" t="s">
        <v>12</v>
      </c>
      <c r="I9" s="36">
        <v>994873421442</v>
      </c>
      <c r="J9" s="36" t="s">
        <v>55</v>
      </c>
      <c r="K9" s="40" t="s">
        <v>24</v>
      </c>
      <c r="L9" s="31" t="s">
        <v>27</v>
      </c>
      <c r="M9" s="38" t="s">
        <v>22</v>
      </c>
    </row>
    <row r="10" spans="1:13" x14ac:dyDescent="0.35">
      <c r="A10" s="31">
        <v>6</v>
      </c>
      <c r="B10" s="32">
        <v>45871</v>
      </c>
      <c r="C10" s="32">
        <v>45871</v>
      </c>
      <c r="D10" s="33">
        <v>0.33333333333333331</v>
      </c>
      <c r="E10" s="33">
        <v>0.83333333333333337</v>
      </c>
      <c r="F10" s="39">
        <v>1093000</v>
      </c>
      <c r="G10" s="39">
        <v>1093000</v>
      </c>
      <c r="H10" s="35" t="s">
        <v>12</v>
      </c>
      <c r="I10" s="36">
        <v>994873421442</v>
      </c>
      <c r="J10" s="36" t="s">
        <v>55</v>
      </c>
      <c r="K10" s="40" t="s">
        <v>25</v>
      </c>
      <c r="L10" s="31" t="s">
        <v>27</v>
      </c>
      <c r="M10" s="38" t="s">
        <v>13</v>
      </c>
    </row>
    <row r="11" spans="1:13" x14ac:dyDescent="0.35">
      <c r="A11" s="31">
        <v>7</v>
      </c>
      <c r="B11" s="32">
        <v>45871</v>
      </c>
      <c r="C11" s="32">
        <v>45872</v>
      </c>
      <c r="D11" s="33">
        <v>0.83333333333333337</v>
      </c>
      <c r="E11" s="33">
        <v>0.33333333333333331</v>
      </c>
      <c r="F11" s="39">
        <v>501000</v>
      </c>
      <c r="G11" s="39">
        <v>501000</v>
      </c>
      <c r="H11" s="35" t="s">
        <v>12</v>
      </c>
      <c r="I11" s="36">
        <v>994873421442</v>
      </c>
      <c r="J11" s="36" t="s">
        <v>55</v>
      </c>
      <c r="K11" s="40" t="s">
        <v>16</v>
      </c>
      <c r="L11" s="31" t="s">
        <v>27</v>
      </c>
      <c r="M11" s="38" t="s">
        <v>21</v>
      </c>
    </row>
    <row r="12" spans="1:13" x14ac:dyDescent="0.35">
      <c r="A12" s="31">
        <v>8</v>
      </c>
      <c r="B12" s="32">
        <v>45871</v>
      </c>
      <c r="C12" s="32">
        <v>45872</v>
      </c>
      <c r="D12" s="33">
        <v>0.83333333333333337</v>
      </c>
      <c r="E12" s="33">
        <v>0.33333333333333331</v>
      </c>
      <c r="F12" s="39">
        <v>665000</v>
      </c>
      <c r="G12" s="39">
        <v>665000</v>
      </c>
      <c r="H12" s="35" t="s">
        <v>12</v>
      </c>
      <c r="I12" s="36">
        <v>994873421442</v>
      </c>
      <c r="J12" s="36" t="s">
        <v>55</v>
      </c>
      <c r="K12" s="40" t="s">
        <v>15</v>
      </c>
      <c r="L12" s="31" t="s">
        <v>27</v>
      </c>
      <c r="M12" s="38" t="s">
        <v>13</v>
      </c>
    </row>
    <row r="13" spans="1:13" x14ac:dyDescent="0.35">
      <c r="A13" s="31">
        <v>9</v>
      </c>
      <c r="B13" s="32">
        <v>45872</v>
      </c>
      <c r="C13" s="32">
        <v>45872</v>
      </c>
      <c r="D13" s="33">
        <v>0.33333333333333331</v>
      </c>
      <c r="E13" s="33">
        <v>0.83333333333333337</v>
      </c>
      <c r="F13" s="39">
        <v>330000</v>
      </c>
      <c r="G13" s="39">
        <v>330000</v>
      </c>
      <c r="H13" s="35" t="s">
        <v>12</v>
      </c>
      <c r="I13" s="36">
        <v>994873421446</v>
      </c>
      <c r="J13" s="36" t="s">
        <v>80</v>
      </c>
      <c r="K13" s="40" t="s">
        <v>24</v>
      </c>
      <c r="L13" s="31" t="s">
        <v>27</v>
      </c>
      <c r="M13" s="38" t="s">
        <v>21</v>
      </c>
    </row>
    <row r="14" spans="1:13" x14ac:dyDescent="0.35">
      <c r="A14" s="31">
        <v>10</v>
      </c>
      <c r="B14" s="32">
        <v>45872</v>
      </c>
      <c r="C14" s="32">
        <v>45872</v>
      </c>
      <c r="D14" s="33">
        <v>0.33333333333333331</v>
      </c>
      <c r="E14" s="33">
        <v>0.83333333333333337</v>
      </c>
      <c r="F14" s="39">
        <v>1321000</v>
      </c>
      <c r="G14" s="39">
        <v>1321000</v>
      </c>
      <c r="H14" s="35" t="s">
        <v>12</v>
      </c>
      <c r="I14" s="36">
        <v>994873421446</v>
      </c>
      <c r="J14" s="36" t="s">
        <v>80</v>
      </c>
      <c r="K14" s="40" t="s">
        <v>25</v>
      </c>
      <c r="L14" s="31" t="s">
        <v>27</v>
      </c>
      <c r="M14" s="38" t="s">
        <v>53</v>
      </c>
    </row>
    <row r="15" spans="1:13" x14ac:dyDescent="0.35">
      <c r="A15" s="31">
        <v>11</v>
      </c>
      <c r="B15" s="32">
        <v>45872</v>
      </c>
      <c r="C15" s="32">
        <v>45873</v>
      </c>
      <c r="D15" s="33">
        <v>0.83333333333333337</v>
      </c>
      <c r="E15" s="33">
        <v>0.33333333333333331</v>
      </c>
      <c r="F15" s="39">
        <v>245000</v>
      </c>
      <c r="G15" s="39">
        <v>245000</v>
      </c>
      <c r="H15" s="35" t="s">
        <v>12</v>
      </c>
      <c r="I15" s="36">
        <v>994873421446</v>
      </c>
      <c r="J15" s="36" t="s">
        <v>80</v>
      </c>
      <c r="K15" s="40" t="s">
        <v>16</v>
      </c>
      <c r="L15" s="31" t="s">
        <v>27</v>
      </c>
      <c r="M15" s="38" t="s">
        <v>21</v>
      </c>
    </row>
    <row r="16" spans="1:13" x14ac:dyDescent="0.35">
      <c r="A16" s="31">
        <v>12</v>
      </c>
      <c r="B16" s="32">
        <v>45872</v>
      </c>
      <c r="C16" s="32">
        <v>45873</v>
      </c>
      <c r="D16" s="33">
        <v>0.83333333333333337</v>
      </c>
      <c r="E16" s="33">
        <v>0.33333333333333331</v>
      </c>
      <c r="F16" s="39">
        <v>569000</v>
      </c>
      <c r="G16" s="39">
        <v>569000</v>
      </c>
      <c r="H16" s="35" t="s">
        <v>12</v>
      </c>
      <c r="I16" s="36">
        <v>994873421446</v>
      </c>
      <c r="J16" s="36" t="s">
        <v>80</v>
      </c>
      <c r="K16" s="40" t="s">
        <v>15</v>
      </c>
      <c r="L16" s="31" t="s">
        <v>27</v>
      </c>
      <c r="M16" s="38" t="s">
        <v>13</v>
      </c>
    </row>
    <row r="17" spans="1:13" x14ac:dyDescent="0.35">
      <c r="A17" s="31">
        <v>13</v>
      </c>
      <c r="B17" s="32">
        <v>45873</v>
      </c>
      <c r="C17" s="32">
        <v>45873</v>
      </c>
      <c r="D17" s="33">
        <v>0.33333333333333331</v>
      </c>
      <c r="E17" s="33">
        <v>0.83333333333333337</v>
      </c>
      <c r="F17" s="39">
        <v>340000</v>
      </c>
      <c r="G17" s="39">
        <v>340000</v>
      </c>
      <c r="H17" s="35" t="s">
        <v>12</v>
      </c>
      <c r="I17" s="36">
        <v>994873422627</v>
      </c>
      <c r="J17" s="36" t="s">
        <v>56</v>
      </c>
      <c r="K17" s="40" t="s">
        <v>19</v>
      </c>
      <c r="L17" s="31" t="s">
        <v>27</v>
      </c>
      <c r="M17" s="38" t="s">
        <v>22</v>
      </c>
    </row>
    <row r="18" spans="1:13" x14ac:dyDescent="0.35">
      <c r="A18" s="31">
        <v>14</v>
      </c>
      <c r="B18" s="32">
        <v>45873</v>
      </c>
      <c r="C18" s="32">
        <v>45873</v>
      </c>
      <c r="D18" s="33">
        <v>0.33333333333333331</v>
      </c>
      <c r="E18" s="33">
        <v>0.83333333333333337</v>
      </c>
      <c r="F18" s="39">
        <v>1260000</v>
      </c>
      <c r="G18" s="39">
        <v>1260000</v>
      </c>
      <c r="H18" s="35" t="s">
        <v>12</v>
      </c>
      <c r="I18" s="36">
        <v>994873422627</v>
      </c>
      <c r="J18" s="36" t="s">
        <v>56</v>
      </c>
      <c r="K18" s="40" t="s">
        <v>20</v>
      </c>
      <c r="L18" s="31" t="s">
        <v>27</v>
      </c>
      <c r="M18" s="38" t="s">
        <v>13</v>
      </c>
    </row>
    <row r="19" spans="1:13" x14ac:dyDescent="0.35">
      <c r="A19" s="31">
        <v>15</v>
      </c>
      <c r="B19" s="32">
        <v>45873</v>
      </c>
      <c r="C19" s="32">
        <v>45874</v>
      </c>
      <c r="D19" s="33">
        <v>0.83333333333333337</v>
      </c>
      <c r="E19" s="33">
        <v>0.33333333333333331</v>
      </c>
      <c r="F19" s="39">
        <v>246000</v>
      </c>
      <c r="G19" s="39">
        <v>246000</v>
      </c>
      <c r="H19" s="35" t="s">
        <v>12</v>
      </c>
      <c r="I19" s="36">
        <v>994873422627</v>
      </c>
      <c r="J19" s="36" t="s">
        <v>56</v>
      </c>
      <c r="K19" s="40" t="s">
        <v>25</v>
      </c>
      <c r="L19" s="31" t="s">
        <v>27</v>
      </c>
      <c r="M19" s="38" t="s">
        <v>21</v>
      </c>
    </row>
    <row r="20" spans="1:13" x14ac:dyDescent="0.35">
      <c r="A20" s="31">
        <v>16</v>
      </c>
      <c r="B20" s="32">
        <v>45873</v>
      </c>
      <c r="C20" s="32">
        <v>45874</v>
      </c>
      <c r="D20" s="33">
        <v>0.83333333333333337</v>
      </c>
      <c r="E20" s="33">
        <v>0.33333333333333331</v>
      </c>
      <c r="F20" s="39">
        <v>361000</v>
      </c>
      <c r="G20" s="39">
        <v>361000</v>
      </c>
      <c r="H20" s="35" t="s">
        <v>12</v>
      </c>
      <c r="I20" s="36">
        <v>994873422627</v>
      </c>
      <c r="J20" s="36" t="s">
        <v>56</v>
      </c>
      <c r="K20" s="40" t="s">
        <v>24</v>
      </c>
      <c r="L20" s="31" t="s">
        <v>27</v>
      </c>
      <c r="M20" s="38" t="s">
        <v>13</v>
      </c>
    </row>
    <row r="21" spans="1:13" x14ac:dyDescent="0.35">
      <c r="A21" s="31">
        <v>17</v>
      </c>
      <c r="B21" s="32">
        <v>45874</v>
      </c>
      <c r="C21" s="32">
        <v>45874</v>
      </c>
      <c r="D21" s="33">
        <v>0.33333333333333331</v>
      </c>
      <c r="E21" s="33">
        <v>0.83333333333333337</v>
      </c>
      <c r="F21" s="39">
        <v>248000</v>
      </c>
      <c r="G21" s="39">
        <v>248000</v>
      </c>
      <c r="H21" s="35" t="s">
        <v>12</v>
      </c>
      <c r="I21" s="36">
        <v>994873428888</v>
      </c>
      <c r="J21" s="36" t="s">
        <v>59</v>
      </c>
      <c r="K21" s="40" t="s">
        <v>19</v>
      </c>
      <c r="L21" s="31" t="s">
        <v>27</v>
      </c>
      <c r="M21" s="38" t="s">
        <v>22</v>
      </c>
    </row>
    <row r="22" spans="1:13" x14ac:dyDescent="0.35">
      <c r="A22" s="31">
        <v>18</v>
      </c>
      <c r="B22" s="32">
        <v>45874</v>
      </c>
      <c r="C22" s="32">
        <v>45874</v>
      </c>
      <c r="D22" s="33">
        <v>0.33333333333333331</v>
      </c>
      <c r="E22" s="33">
        <v>0.83333333333333337</v>
      </c>
      <c r="F22" s="39">
        <v>1003000</v>
      </c>
      <c r="G22" s="39">
        <v>1003000</v>
      </c>
      <c r="H22" s="35" t="s">
        <v>12</v>
      </c>
      <c r="I22" s="36">
        <v>994873428888</v>
      </c>
      <c r="J22" s="36" t="s">
        <v>59</v>
      </c>
      <c r="K22" s="40" t="s">
        <v>20</v>
      </c>
      <c r="L22" s="31" t="s">
        <v>27</v>
      </c>
      <c r="M22" s="38" t="s">
        <v>13</v>
      </c>
    </row>
    <row r="23" spans="1:13" x14ac:dyDescent="0.35">
      <c r="A23" s="31">
        <v>19</v>
      </c>
      <c r="B23" s="32">
        <v>45874</v>
      </c>
      <c r="C23" s="32">
        <v>45875</v>
      </c>
      <c r="D23" s="33">
        <v>0.83333333333333337</v>
      </c>
      <c r="E23" s="33">
        <v>0.33333333333333331</v>
      </c>
      <c r="F23" s="39">
        <v>184000</v>
      </c>
      <c r="G23" s="39">
        <v>184000</v>
      </c>
      <c r="H23" s="35" t="s">
        <v>12</v>
      </c>
      <c r="I23" s="36">
        <v>994873428888</v>
      </c>
      <c r="J23" s="36" t="s">
        <v>59</v>
      </c>
      <c r="K23" s="40" t="s">
        <v>24</v>
      </c>
      <c r="L23" s="31" t="s">
        <v>27</v>
      </c>
      <c r="M23" s="38" t="s">
        <v>21</v>
      </c>
    </row>
    <row r="24" spans="1:13" x14ac:dyDescent="0.35">
      <c r="A24" s="31">
        <v>20</v>
      </c>
      <c r="B24" s="32">
        <v>45874</v>
      </c>
      <c r="C24" s="32">
        <v>45875</v>
      </c>
      <c r="D24" s="33">
        <v>0.83333333333333337</v>
      </c>
      <c r="E24" s="33">
        <v>0.33333333333333331</v>
      </c>
      <c r="F24" s="39">
        <v>419000</v>
      </c>
      <c r="G24" s="39">
        <v>419000</v>
      </c>
      <c r="H24" s="35" t="s">
        <v>12</v>
      </c>
      <c r="I24" s="36">
        <v>994873428888</v>
      </c>
      <c r="J24" s="36" t="s">
        <v>59</v>
      </c>
      <c r="K24" s="40" t="s">
        <v>25</v>
      </c>
      <c r="L24" s="31" t="s">
        <v>27</v>
      </c>
      <c r="M24" s="38" t="s">
        <v>13</v>
      </c>
    </row>
    <row r="25" spans="1:13" x14ac:dyDescent="0.35">
      <c r="A25" s="31">
        <v>21</v>
      </c>
      <c r="B25" s="32">
        <v>45875</v>
      </c>
      <c r="C25" s="32">
        <v>45875</v>
      </c>
      <c r="D25" s="33">
        <v>0.33333333333333331</v>
      </c>
      <c r="E25" s="33">
        <v>0.83333333333333337</v>
      </c>
      <c r="F25" s="39">
        <v>221000</v>
      </c>
      <c r="G25" s="39">
        <v>221000</v>
      </c>
      <c r="H25" s="35" t="s">
        <v>12</v>
      </c>
      <c r="I25" s="36">
        <v>994873428889</v>
      </c>
      <c r="J25" s="36" t="s">
        <v>58</v>
      </c>
      <c r="K25" s="40" t="s">
        <v>16</v>
      </c>
      <c r="L25" s="31" t="s">
        <v>27</v>
      </c>
      <c r="M25" s="38" t="s">
        <v>21</v>
      </c>
    </row>
    <row r="26" spans="1:13" x14ac:dyDescent="0.35">
      <c r="A26" s="31">
        <v>22</v>
      </c>
      <c r="B26" s="32">
        <v>45875</v>
      </c>
      <c r="C26" s="32">
        <v>45875</v>
      </c>
      <c r="D26" s="33">
        <v>0.33333333333333331</v>
      </c>
      <c r="E26" s="33">
        <v>0.83333333333333337</v>
      </c>
      <c r="F26" s="39">
        <v>951000</v>
      </c>
      <c r="G26" s="39">
        <v>951000</v>
      </c>
      <c r="H26" s="35" t="s">
        <v>12</v>
      </c>
      <c r="I26" s="36">
        <v>994873428889</v>
      </c>
      <c r="J26" s="36" t="s">
        <v>58</v>
      </c>
      <c r="K26" s="40" t="s">
        <v>15</v>
      </c>
      <c r="L26" s="31" t="s">
        <v>27</v>
      </c>
      <c r="M26" s="38" t="s">
        <v>13</v>
      </c>
    </row>
    <row r="27" spans="1:13" x14ac:dyDescent="0.35">
      <c r="A27" s="31">
        <v>23</v>
      </c>
      <c r="B27" s="32">
        <v>45875</v>
      </c>
      <c r="C27" s="32">
        <v>45876</v>
      </c>
      <c r="D27" s="33">
        <v>0.83333333333333337</v>
      </c>
      <c r="E27" s="33">
        <v>0.33333333333333331</v>
      </c>
      <c r="F27" s="39">
        <v>215000</v>
      </c>
      <c r="G27" s="39">
        <v>215000</v>
      </c>
      <c r="H27" s="35" t="s">
        <v>12</v>
      </c>
      <c r="I27" s="36">
        <v>994873428889</v>
      </c>
      <c r="J27" s="36" t="s">
        <v>58</v>
      </c>
      <c r="K27" s="40" t="s">
        <v>19</v>
      </c>
      <c r="L27" s="31" t="s">
        <v>27</v>
      </c>
      <c r="M27" s="38" t="s">
        <v>21</v>
      </c>
    </row>
    <row r="28" spans="1:13" x14ac:dyDescent="0.35">
      <c r="A28" s="31">
        <v>24</v>
      </c>
      <c r="B28" s="32">
        <v>45875</v>
      </c>
      <c r="C28" s="32">
        <v>45876</v>
      </c>
      <c r="D28" s="33">
        <v>0.83333333333333337</v>
      </c>
      <c r="E28" s="33">
        <v>0.33333333333333331</v>
      </c>
      <c r="F28" s="39">
        <v>523000</v>
      </c>
      <c r="G28" s="39">
        <v>523000</v>
      </c>
      <c r="H28" s="35" t="s">
        <v>12</v>
      </c>
      <c r="I28" s="36">
        <v>994873428889</v>
      </c>
      <c r="J28" s="36" t="s">
        <v>58</v>
      </c>
      <c r="K28" s="40" t="s">
        <v>20</v>
      </c>
      <c r="L28" s="31" t="s">
        <v>27</v>
      </c>
      <c r="M28" s="38" t="s">
        <v>13</v>
      </c>
    </row>
    <row r="29" spans="1:13" x14ac:dyDescent="0.35">
      <c r="A29" s="31">
        <v>25</v>
      </c>
      <c r="B29" s="32">
        <v>45876</v>
      </c>
      <c r="C29" s="32">
        <v>45876</v>
      </c>
      <c r="D29" s="33">
        <v>0.33333333333333331</v>
      </c>
      <c r="E29" s="33">
        <v>0.83333333333333337</v>
      </c>
      <c r="F29" s="39">
        <v>341000</v>
      </c>
      <c r="G29" s="39">
        <v>341000</v>
      </c>
      <c r="H29" s="35" t="s">
        <v>12</v>
      </c>
      <c r="I29" s="36">
        <v>987262029264</v>
      </c>
      <c r="J29" s="36" t="s">
        <v>57</v>
      </c>
      <c r="K29" s="40" t="s">
        <v>16</v>
      </c>
      <c r="L29" s="31" t="s">
        <v>27</v>
      </c>
      <c r="M29" s="38" t="s">
        <v>22</v>
      </c>
    </row>
    <row r="30" spans="1:13" x14ac:dyDescent="0.35">
      <c r="A30" s="31">
        <v>26</v>
      </c>
      <c r="B30" s="32">
        <v>45876</v>
      </c>
      <c r="C30" s="32">
        <v>45876</v>
      </c>
      <c r="D30" s="33">
        <v>0.33333333333333331</v>
      </c>
      <c r="E30" s="33">
        <v>0.83333333333333337</v>
      </c>
      <c r="F30" s="39">
        <v>1142000</v>
      </c>
      <c r="G30" s="39">
        <v>1142000</v>
      </c>
      <c r="H30" s="35" t="s">
        <v>12</v>
      </c>
      <c r="I30" s="36">
        <v>987262029264</v>
      </c>
      <c r="J30" s="36" t="s">
        <v>57</v>
      </c>
      <c r="K30" s="40" t="s">
        <v>15</v>
      </c>
      <c r="L30" s="31" t="s">
        <v>27</v>
      </c>
      <c r="M30" s="38" t="s">
        <v>13</v>
      </c>
    </row>
    <row r="31" spans="1:13" x14ac:dyDescent="0.35">
      <c r="A31" s="31">
        <v>27</v>
      </c>
      <c r="B31" s="32">
        <v>45876</v>
      </c>
      <c r="C31" s="32">
        <v>45877</v>
      </c>
      <c r="D31" s="33">
        <v>0.83333333333333337</v>
      </c>
      <c r="E31" s="33">
        <v>0.33333333333333331</v>
      </c>
      <c r="F31" s="39">
        <v>116000</v>
      </c>
      <c r="G31" s="39">
        <v>116000</v>
      </c>
      <c r="H31" s="35" t="s">
        <v>12</v>
      </c>
      <c r="I31" s="36">
        <v>987262029264</v>
      </c>
      <c r="J31" s="36" t="s">
        <v>57</v>
      </c>
      <c r="K31" s="40" t="s">
        <v>19</v>
      </c>
      <c r="L31" s="31" t="s">
        <v>27</v>
      </c>
      <c r="M31" s="38" t="s">
        <v>21</v>
      </c>
    </row>
    <row r="32" spans="1:13" x14ac:dyDescent="0.35">
      <c r="A32" s="31">
        <v>28</v>
      </c>
      <c r="B32" s="32">
        <v>45876</v>
      </c>
      <c r="C32" s="32">
        <v>45877</v>
      </c>
      <c r="D32" s="33">
        <v>0.83333333333333337</v>
      </c>
      <c r="E32" s="33">
        <v>0.33333333333333331</v>
      </c>
      <c r="F32" s="39">
        <v>632000</v>
      </c>
      <c r="G32" s="39">
        <v>632000</v>
      </c>
      <c r="H32" s="35" t="s">
        <v>12</v>
      </c>
      <c r="I32" s="36">
        <v>987262029264</v>
      </c>
      <c r="J32" s="36" t="s">
        <v>57</v>
      </c>
      <c r="K32" s="40" t="s">
        <v>20</v>
      </c>
      <c r="L32" s="31" t="s">
        <v>27</v>
      </c>
      <c r="M32" s="38" t="s">
        <v>13</v>
      </c>
    </row>
    <row r="33" spans="1:13" x14ac:dyDescent="0.35">
      <c r="A33" s="31">
        <v>29</v>
      </c>
      <c r="B33" s="32">
        <v>45877</v>
      </c>
      <c r="C33" s="32">
        <v>45877</v>
      </c>
      <c r="D33" s="33">
        <v>0.33333333333333331</v>
      </c>
      <c r="E33" s="33">
        <v>0.83333333333333337</v>
      </c>
      <c r="F33" s="39">
        <v>406000</v>
      </c>
      <c r="G33" s="39">
        <v>406000</v>
      </c>
      <c r="H33" s="35" t="s">
        <v>12</v>
      </c>
      <c r="I33" s="36">
        <v>994873428891</v>
      </c>
      <c r="J33" s="36" t="s">
        <v>63</v>
      </c>
      <c r="K33" s="40" t="s">
        <v>24</v>
      </c>
      <c r="L33" s="31" t="s">
        <v>27</v>
      </c>
      <c r="M33" s="38" t="s">
        <v>22</v>
      </c>
    </row>
    <row r="34" spans="1:13" x14ac:dyDescent="0.35">
      <c r="A34" s="31">
        <v>30</v>
      </c>
      <c r="B34" s="32">
        <v>45877</v>
      </c>
      <c r="C34" s="32">
        <v>45877</v>
      </c>
      <c r="D34" s="33">
        <v>0.33333333333333331</v>
      </c>
      <c r="E34" s="33">
        <v>0.83333333333333337</v>
      </c>
      <c r="F34" s="39">
        <v>887000</v>
      </c>
      <c r="G34" s="39">
        <v>887000</v>
      </c>
      <c r="H34" s="35" t="s">
        <v>12</v>
      </c>
      <c r="I34" s="36">
        <v>994873428891</v>
      </c>
      <c r="J34" s="36" t="s">
        <v>63</v>
      </c>
      <c r="K34" s="40" t="s">
        <v>25</v>
      </c>
      <c r="L34" s="31" t="s">
        <v>27</v>
      </c>
      <c r="M34" s="38" t="s">
        <v>13</v>
      </c>
    </row>
    <row r="35" spans="1:13" x14ac:dyDescent="0.35">
      <c r="A35" s="31">
        <v>31</v>
      </c>
      <c r="B35" s="32">
        <v>45877</v>
      </c>
      <c r="C35" s="32">
        <v>45878</v>
      </c>
      <c r="D35" s="33">
        <v>0.83333333333333337</v>
      </c>
      <c r="E35" s="33">
        <v>0.33333333333333331</v>
      </c>
      <c r="F35" s="39">
        <v>221000</v>
      </c>
      <c r="G35" s="39">
        <v>221000</v>
      </c>
      <c r="H35" s="35" t="s">
        <v>12</v>
      </c>
      <c r="I35" s="36">
        <v>994873428891</v>
      </c>
      <c r="J35" s="36" t="s">
        <v>63</v>
      </c>
      <c r="K35" s="40" t="s">
        <v>16</v>
      </c>
      <c r="L35" s="31" t="s">
        <v>27</v>
      </c>
      <c r="M35" s="38" t="s">
        <v>21</v>
      </c>
    </row>
    <row r="36" spans="1:13" x14ac:dyDescent="0.35">
      <c r="A36" s="31">
        <v>32</v>
      </c>
      <c r="B36" s="32">
        <v>45877</v>
      </c>
      <c r="C36" s="32">
        <v>45878</v>
      </c>
      <c r="D36" s="33">
        <v>0.83333333333333337</v>
      </c>
      <c r="E36" s="33">
        <v>0.33333333333333331</v>
      </c>
      <c r="F36" s="39">
        <v>475000</v>
      </c>
      <c r="G36" s="39">
        <v>475000</v>
      </c>
      <c r="H36" s="35" t="s">
        <v>12</v>
      </c>
      <c r="I36" s="36">
        <v>994873428891</v>
      </c>
      <c r="J36" s="36" t="s">
        <v>63</v>
      </c>
      <c r="K36" s="40" t="s">
        <v>15</v>
      </c>
      <c r="L36" s="31" t="s">
        <v>27</v>
      </c>
      <c r="M36" s="38" t="s">
        <v>13</v>
      </c>
    </row>
    <row r="37" spans="1:13" x14ac:dyDescent="0.35">
      <c r="A37" s="31">
        <v>33</v>
      </c>
      <c r="B37" s="32">
        <v>45878</v>
      </c>
      <c r="C37" s="32">
        <v>45878</v>
      </c>
      <c r="D37" s="33">
        <v>0.33333333333333331</v>
      </c>
      <c r="E37" s="33">
        <v>0.83333333333333337</v>
      </c>
      <c r="F37" s="39">
        <v>290000</v>
      </c>
      <c r="G37" s="39">
        <v>290000</v>
      </c>
      <c r="H37" s="35" t="s">
        <v>12</v>
      </c>
      <c r="I37" s="36">
        <v>994873435117</v>
      </c>
      <c r="J37" s="36" t="s">
        <v>67</v>
      </c>
      <c r="K37" s="40" t="s">
        <v>24</v>
      </c>
      <c r="L37" s="31" t="s">
        <v>27</v>
      </c>
      <c r="M37" s="38" t="s">
        <v>22</v>
      </c>
    </row>
    <row r="38" spans="1:13" x14ac:dyDescent="0.35">
      <c r="A38" s="31">
        <v>34</v>
      </c>
      <c r="B38" s="32">
        <v>45878</v>
      </c>
      <c r="C38" s="32">
        <v>45878</v>
      </c>
      <c r="D38" s="33">
        <v>0.33333333333333331</v>
      </c>
      <c r="E38" s="33">
        <v>0.83333333333333337</v>
      </c>
      <c r="F38" s="39">
        <v>1038000</v>
      </c>
      <c r="G38" s="39">
        <v>1038000</v>
      </c>
      <c r="H38" s="35" t="s">
        <v>12</v>
      </c>
      <c r="I38" s="36">
        <v>994873435117</v>
      </c>
      <c r="J38" s="36" t="s">
        <v>67</v>
      </c>
      <c r="K38" s="40" t="s">
        <v>25</v>
      </c>
      <c r="L38" s="31" t="s">
        <v>27</v>
      </c>
      <c r="M38" s="38" t="s">
        <v>13</v>
      </c>
    </row>
    <row r="39" spans="1:13" x14ac:dyDescent="0.35">
      <c r="A39" s="31">
        <v>35</v>
      </c>
      <c r="B39" s="32">
        <v>45878</v>
      </c>
      <c r="C39" s="32">
        <v>45879</v>
      </c>
      <c r="D39" s="33">
        <v>0.83333333333333337</v>
      </c>
      <c r="E39" s="33">
        <v>0.33333333333333331</v>
      </c>
      <c r="F39" s="39">
        <v>242000</v>
      </c>
      <c r="G39" s="39">
        <v>242000</v>
      </c>
      <c r="H39" s="35" t="s">
        <v>12</v>
      </c>
      <c r="I39" s="36">
        <v>994873435117</v>
      </c>
      <c r="J39" s="36" t="s">
        <v>67</v>
      </c>
      <c r="K39" s="40" t="s">
        <v>16</v>
      </c>
      <c r="L39" s="31" t="s">
        <v>27</v>
      </c>
      <c r="M39" s="38" t="s">
        <v>21</v>
      </c>
    </row>
    <row r="40" spans="1:13" x14ac:dyDescent="0.35">
      <c r="A40" s="31">
        <v>36</v>
      </c>
      <c r="B40" s="32">
        <v>45878</v>
      </c>
      <c r="C40" s="32">
        <v>45879</v>
      </c>
      <c r="D40" s="33">
        <v>0.83333333333333337</v>
      </c>
      <c r="E40" s="33">
        <v>0.33333333333333331</v>
      </c>
      <c r="F40" s="39">
        <v>539000</v>
      </c>
      <c r="G40" s="39">
        <v>539000</v>
      </c>
      <c r="H40" s="35" t="s">
        <v>12</v>
      </c>
      <c r="I40" s="36">
        <v>994873435117</v>
      </c>
      <c r="J40" s="36" t="s">
        <v>67</v>
      </c>
      <c r="K40" s="40" t="s">
        <v>15</v>
      </c>
      <c r="L40" s="31" t="s">
        <v>27</v>
      </c>
      <c r="M40" s="38" t="s">
        <v>13</v>
      </c>
    </row>
    <row r="41" spans="1:13" x14ac:dyDescent="0.35">
      <c r="A41" s="31">
        <v>37</v>
      </c>
      <c r="B41" s="32">
        <v>45879</v>
      </c>
      <c r="C41" s="32">
        <v>45879</v>
      </c>
      <c r="D41" s="33">
        <v>0.33333333333333331</v>
      </c>
      <c r="E41" s="33">
        <v>0.83333333333333337</v>
      </c>
      <c r="F41" s="39">
        <v>452000</v>
      </c>
      <c r="G41" s="39">
        <v>452000</v>
      </c>
      <c r="H41" s="35" t="s">
        <v>12</v>
      </c>
      <c r="I41" s="36">
        <v>994873435111</v>
      </c>
      <c r="J41" s="36" t="s">
        <v>68</v>
      </c>
      <c r="K41" s="40" t="s">
        <v>19</v>
      </c>
      <c r="L41" s="31" t="s">
        <v>27</v>
      </c>
      <c r="M41" s="38" t="s">
        <v>64</v>
      </c>
    </row>
    <row r="42" spans="1:13" x14ac:dyDescent="0.35">
      <c r="A42" s="31">
        <v>38</v>
      </c>
      <c r="B42" s="32">
        <v>45879</v>
      </c>
      <c r="C42" s="32">
        <v>45879</v>
      </c>
      <c r="D42" s="33">
        <v>0.33333333333333331</v>
      </c>
      <c r="E42" s="33">
        <v>0.83333333333333337</v>
      </c>
      <c r="F42" s="39">
        <v>1329000</v>
      </c>
      <c r="G42" s="39">
        <v>1329000</v>
      </c>
      <c r="H42" s="35" t="s">
        <v>12</v>
      </c>
      <c r="I42" s="36">
        <v>994873435111</v>
      </c>
      <c r="J42" s="36" t="s">
        <v>68</v>
      </c>
      <c r="K42" s="40" t="s">
        <v>20</v>
      </c>
      <c r="L42" s="31" t="s">
        <v>27</v>
      </c>
      <c r="M42" s="38" t="s">
        <v>13</v>
      </c>
    </row>
    <row r="43" spans="1:13" x14ac:dyDescent="0.35">
      <c r="A43" s="31">
        <v>39</v>
      </c>
      <c r="B43" s="32">
        <v>45879</v>
      </c>
      <c r="C43" s="32">
        <v>45880</v>
      </c>
      <c r="D43" s="33">
        <v>0.83333333333333337</v>
      </c>
      <c r="E43" s="33">
        <v>0.33333333333333331</v>
      </c>
      <c r="F43" s="39">
        <v>253000</v>
      </c>
      <c r="G43" s="39">
        <v>253000</v>
      </c>
      <c r="H43" s="35" t="s">
        <v>12</v>
      </c>
      <c r="I43" s="36">
        <v>994873435111</v>
      </c>
      <c r="J43" s="36" t="s">
        <v>68</v>
      </c>
      <c r="K43" s="40" t="s">
        <v>24</v>
      </c>
      <c r="L43" s="31" t="s">
        <v>27</v>
      </c>
      <c r="M43" s="38" t="s">
        <v>64</v>
      </c>
    </row>
    <row r="44" spans="1:13" x14ac:dyDescent="0.35">
      <c r="A44" s="31">
        <v>40</v>
      </c>
      <c r="B44" s="32">
        <v>45879</v>
      </c>
      <c r="C44" s="32">
        <v>45880</v>
      </c>
      <c r="D44" s="33">
        <v>0.83333333333333337</v>
      </c>
      <c r="E44" s="33">
        <v>0.33333333333333331</v>
      </c>
      <c r="F44" s="39">
        <v>517000</v>
      </c>
      <c r="G44" s="39">
        <v>517000</v>
      </c>
      <c r="H44" s="35" t="s">
        <v>12</v>
      </c>
      <c r="I44" s="36">
        <v>994873435111</v>
      </c>
      <c r="J44" s="36" t="s">
        <v>68</v>
      </c>
      <c r="K44" s="40" t="s">
        <v>25</v>
      </c>
      <c r="L44" s="31" t="s">
        <v>27</v>
      </c>
      <c r="M44" s="38" t="s">
        <v>13</v>
      </c>
    </row>
    <row r="45" spans="1:13" x14ac:dyDescent="0.35">
      <c r="A45" s="31">
        <v>41</v>
      </c>
      <c r="B45" s="32">
        <v>45880</v>
      </c>
      <c r="C45" s="32">
        <v>45880</v>
      </c>
      <c r="D45" s="33">
        <v>0.33333333333333331</v>
      </c>
      <c r="E45" s="33">
        <v>0.83333333333333337</v>
      </c>
      <c r="F45" s="39">
        <v>504000</v>
      </c>
      <c r="G45" s="39">
        <v>504000</v>
      </c>
      <c r="H45" s="35" t="s">
        <v>12</v>
      </c>
      <c r="I45" s="36">
        <v>987262055296</v>
      </c>
      <c r="J45" s="36" t="s">
        <v>65</v>
      </c>
      <c r="K45" s="40" t="s">
        <v>19</v>
      </c>
      <c r="L45" s="31" t="s">
        <v>27</v>
      </c>
      <c r="M45" s="38" t="s">
        <v>22</v>
      </c>
    </row>
    <row r="46" spans="1:13" x14ac:dyDescent="0.35">
      <c r="A46" s="31">
        <v>42</v>
      </c>
      <c r="B46" s="32">
        <v>45880</v>
      </c>
      <c r="C46" s="32">
        <v>45880</v>
      </c>
      <c r="D46" s="33">
        <v>0.33333333333333331</v>
      </c>
      <c r="E46" s="33">
        <v>0.83333333333333337</v>
      </c>
      <c r="F46" s="39">
        <v>1214000</v>
      </c>
      <c r="G46" s="39">
        <v>1214000</v>
      </c>
      <c r="H46" s="35" t="s">
        <v>12</v>
      </c>
      <c r="I46" s="36">
        <v>987262055296</v>
      </c>
      <c r="J46" s="36" t="s">
        <v>65</v>
      </c>
      <c r="K46" s="40" t="s">
        <v>20</v>
      </c>
      <c r="L46" s="31" t="s">
        <v>27</v>
      </c>
      <c r="M46" s="38" t="s">
        <v>13</v>
      </c>
    </row>
    <row r="47" spans="1:13" x14ac:dyDescent="0.35">
      <c r="A47" s="31">
        <v>43</v>
      </c>
      <c r="B47" s="32">
        <v>45880</v>
      </c>
      <c r="C47" s="32">
        <v>45881</v>
      </c>
      <c r="D47" s="33">
        <v>0.83333333333333337</v>
      </c>
      <c r="E47" s="33">
        <v>0.33333333333333331</v>
      </c>
      <c r="F47" s="39">
        <v>115000</v>
      </c>
      <c r="G47" s="39">
        <v>115000</v>
      </c>
      <c r="H47" s="35" t="s">
        <v>12</v>
      </c>
      <c r="I47" s="36">
        <v>987262055296</v>
      </c>
      <c r="J47" s="36" t="s">
        <v>65</v>
      </c>
      <c r="K47" s="40" t="s">
        <v>24</v>
      </c>
      <c r="L47" s="31" t="s">
        <v>27</v>
      </c>
      <c r="M47" s="38" t="s">
        <v>22</v>
      </c>
    </row>
    <row r="48" spans="1:13" x14ac:dyDescent="0.35">
      <c r="A48" s="31">
        <v>44</v>
      </c>
      <c r="B48" s="32">
        <v>45880</v>
      </c>
      <c r="C48" s="32">
        <v>45881</v>
      </c>
      <c r="D48" s="33">
        <v>0.83333333333333337</v>
      </c>
      <c r="E48" s="33">
        <v>0.33333333333333331</v>
      </c>
      <c r="F48" s="39">
        <v>492000</v>
      </c>
      <c r="G48" s="39">
        <v>492000</v>
      </c>
      <c r="H48" s="35" t="s">
        <v>12</v>
      </c>
      <c r="I48" s="36">
        <v>987262055296</v>
      </c>
      <c r="J48" s="36" t="s">
        <v>65</v>
      </c>
      <c r="K48" s="40" t="s">
        <v>25</v>
      </c>
      <c r="L48" s="31" t="s">
        <v>27</v>
      </c>
      <c r="M48" s="38" t="s">
        <v>13</v>
      </c>
    </row>
    <row r="49" spans="1:13" x14ac:dyDescent="0.35">
      <c r="A49" s="31">
        <v>45</v>
      </c>
      <c r="B49" s="32">
        <v>45881</v>
      </c>
      <c r="C49" s="32">
        <v>45881</v>
      </c>
      <c r="D49" s="33">
        <v>0.33333333333333331</v>
      </c>
      <c r="E49" s="33">
        <v>0.83333333333333337</v>
      </c>
      <c r="F49" s="39">
        <v>243000</v>
      </c>
      <c r="G49" s="39">
        <v>243000</v>
      </c>
      <c r="H49" s="35" t="s">
        <v>12</v>
      </c>
      <c r="I49" s="36">
        <v>994873435121</v>
      </c>
      <c r="J49" s="36" t="s">
        <v>66</v>
      </c>
      <c r="K49" s="40" t="s">
        <v>16</v>
      </c>
      <c r="L49" s="31" t="s">
        <v>27</v>
      </c>
      <c r="M49" s="38" t="s">
        <v>22</v>
      </c>
    </row>
    <row r="50" spans="1:13" x14ac:dyDescent="0.35">
      <c r="A50" s="31">
        <v>46</v>
      </c>
      <c r="B50" s="32">
        <v>45881</v>
      </c>
      <c r="C50" s="32">
        <v>45881</v>
      </c>
      <c r="D50" s="33">
        <v>0.33333333333333331</v>
      </c>
      <c r="E50" s="33">
        <v>0.83333333333333337</v>
      </c>
      <c r="F50" s="39">
        <v>987000</v>
      </c>
      <c r="G50" s="39">
        <v>987000</v>
      </c>
      <c r="H50" s="35" t="s">
        <v>12</v>
      </c>
      <c r="I50" s="36">
        <v>994873435121</v>
      </c>
      <c r="J50" s="36" t="s">
        <v>66</v>
      </c>
      <c r="K50" s="40" t="s">
        <v>15</v>
      </c>
      <c r="L50" s="31" t="s">
        <v>27</v>
      </c>
      <c r="M50" s="38" t="s">
        <v>13</v>
      </c>
    </row>
    <row r="51" spans="1:13" x14ac:dyDescent="0.35">
      <c r="A51" s="31">
        <v>47</v>
      </c>
      <c r="B51" s="32">
        <v>45881</v>
      </c>
      <c r="C51" s="32">
        <v>45882</v>
      </c>
      <c r="D51" s="33">
        <v>0.83333333333333337</v>
      </c>
      <c r="E51" s="33">
        <v>0.33333333333333331</v>
      </c>
      <c r="F51" s="39">
        <v>242000</v>
      </c>
      <c r="G51" s="39">
        <v>242000</v>
      </c>
      <c r="H51" s="35" t="s">
        <v>12</v>
      </c>
      <c r="I51" s="36">
        <v>994873435121</v>
      </c>
      <c r="J51" s="36" t="s">
        <v>66</v>
      </c>
      <c r="K51" s="40" t="s">
        <v>19</v>
      </c>
      <c r="L51" s="31" t="s">
        <v>27</v>
      </c>
      <c r="M51" s="38" t="s">
        <v>21</v>
      </c>
    </row>
    <row r="52" spans="1:13" x14ac:dyDescent="0.35">
      <c r="A52" s="31">
        <v>48</v>
      </c>
      <c r="B52" s="32">
        <v>45881</v>
      </c>
      <c r="C52" s="32">
        <v>45882</v>
      </c>
      <c r="D52" s="33">
        <v>0.83333333333333337</v>
      </c>
      <c r="E52" s="33">
        <v>0.33333333333333331</v>
      </c>
      <c r="F52" s="39">
        <v>412000</v>
      </c>
      <c r="G52" s="39">
        <v>412000</v>
      </c>
      <c r="H52" s="35" t="s">
        <v>12</v>
      </c>
      <c r="I52" s="36">
        <v>994873435121</v>
      </c>
      <c r="J52" s="36" t="s">
        <v>66</v>
      </c>
      <c r="K52" s="40" t="s">
        <v>25</v>
      </c>
      <c r="L52" s="31" t="s">
        <v>27</v>
      </c>
      <c r="M52" s="38" t="s">
        <v>13</v>
      </c>
    </row>
    <row r="53" spans="1:13" x14ac:dyDescent="0.35">
      <c r="A53" s="31">
        <v>49</v>
      </c>
      <c r="B53" s="32">
        <v>45882</v>
      </c>
      <c r="C53" s="32">
        <v>45882</v>
      </c>
      <c r="D53" s="33">
        <v>0.33333333333333331</v>
      </c>
      <c r="E53" s="33">
        <v>0.83333333333333337</v>
      </c>
      <c r="F53" s="39">
        <v>259000</v>
      </c>
      <c r="G53" s="39">
        <v>259000</v>
      </c>
      <c r="H53" s="35" t="s">
        <v>12</v>
      </c>
      <c r="I53" s="36">
        <v>994873437745</v>
      </c>
      <c r="J53" s="31" t="s">
        <v>69</v>
      </c>
      <c r="K53" s="40" t="s">
        <v>16</v>
      </c>
      <c r="L53" s="31" t="s">
        <v>27</v>
      </c>
      <c r="M53" s="38" t="s">
        <v>22</v>
      </c>
    </row>
    <row r="54" spans="1:13" x14ac:dyDescent="0.35">
      <c r="A54" s="31">
        <v>50</v>
      </c>
      <c r="B54" s="32">
        <v>45882</v>
      </c>
      <c r="C54" s="32">
        <v>45882</v>
      </c>
      <c r="D54" s="33">
        <v>0.33333333333333331</v>
      </c>
      <c r="E54" s="33">
        <v>0.83333333333333337</v>
      </c>
      <c r="F54" s="39">
        <v>1102000</v>
      </c>
      <c r="G54" s="39">
        <v>1102000</v>
      </c>
      <c r="H54" s="35" t="s">
        <v>12</v>
      </c>
      <c r="I54" s="36">
        <v>994873437745</v>
      </c>
      <c r="J54" s="31" t="s">
        <v>69</v>
      </c>
      <c r="K54" s="40" t="s">
        <v>25</v>
      </c>
      <c r="L54" s="31" t="s">
        <v>27</v>
      </c>
      <c r="M54" s="38" t="s">
        <v>13</v>
      </c>
    </row>
    <row r="55" spans="1:13" x14ac:dyDescent="0.35">
      <c r="A55" s="31">
        <v>51</v>
      </c>
      <c r="B55" s="32">
        <v>45882</v>
      </c>
      <c r="C55" s="32">
        <v>45883</v>
      </c>
      <c r="D55" s="33">
        <v>0.83333333333333337</v>
      </c>
      <c r="E55" s="33">
        <v>0.33333333333333331</v>
      </c>
      <c r="F55" s="39">
        <v>116000</v>
      </c>
      <c r="G55" s="39">
        <v>116000</v>
      </c>
      <c r="H55" s="35" t="s">
        <v>12</v>
      </c>
      <c r="I55" s="36">
        <v>994873437745</v>
      </c>
      <c r="J55" s="31" t="s">
        <v>69</v>
      </c>
      <c r="K55" s="40" t="s">
        <v>19</v>
      </c>
      <c r="L55" s="31" t="s">
        <v>27</v>
      </c>
      <c r="M55" s="38" t="s">
        <v>21</v>
      </c>
    </row>
    <row r="56" spans="1:13" x14ac:dyDescent="0.35">
      <c r="A56" s="31">
        <v>52</v>
      </c>
      <c r="B56" s="32">
        <v>45882</v>
      </c>
      <c r="C56" s="32">
        <v>45883</v>
      </c>
      <c r="D56" s="33">
        <v>0.83333333333333337</v>
      </c>
      <c r="E56" s="33">
        <v>0.33333333333333331</v>
      </c>
      <c r="F56" s="39">
        <v>441000</v>
      </c>
      <c r="G56" s="39">
        <v>441000</v>
      </c>
      <c r="H56" s="35" t="s">
        <v>12</v>
      </c>
      <c r="I56" s="36">
        <v>994873437745</v>
      </c>
      <c r="J56" s="31" t="s">
        <v>69</v>
      </c>
      <c r="K56" s="40" t="s">
        <v>15</v>
      </c>
      <c r="L56" s="31" t="s">
        <v>27</v>
      </c>
      <c r="M56" s="38" t="s">
        <v>13</v>
      </c>
    </row>
    <row r="57" spans="1:13" x14ac:dyDescent="0.35">
      <c r="A57" s="31">
        <v>53</v>
      </c>
      <c r="B57" s="32">
        <v>45883</v>
      </c>
      <c r="C57" s="32">
        <v>45883</v>
      </c>
      <c r="D57" s="33">
        <v>0.33333333333333331</v>
      </c>
      <c r="E57" s="33">
        <v>0.83333333333333337</v>
      </c>
      <c r="F57" s="39">
        <v>379000</v>
      </c>
      <c r="G57" s="39">
        <v>379000</v>
      </c>
      <c r="H57" s="35" t="s">
        <v>12</v>
      </c>
      <c r="I57" s="36">
        <v>994873445230</v>
      </c>
      <c r="J57" s="36" t="s">
        <v>72</v>
      </c>
      <c r="K57" s="40" t="s">
        <v>24</v>
      </c>
      <c r="L57" s="31" t="s">
        <v>27</v>
      </c>
      <c r="M57" s="38" t="s">
        <v>22</v>
      </c>
    </row>
    <row r="58" spans="1:13" x14ac:dyDescent="0.35">
      <c r="A58" s="31">
        <v>54</v>
      </c>
      <c r="B58" s="32">
        <v>45883</v>
      </c>
      <c r="C58" s="32">
        <v>45883</v>
      </c>
      <c r="D58" s="33">
        <v>0.33333333333333331</v>
      </c>
      <c r="E58" s="33">
        <v>0.83333333333333337</v>
      </c>
      <c r="F58" s="39">
        <v>995000</v>
      </c>
      <c r="G58" s="39">
        <v>995000</v>
      </c>
      <c r="H58" s="35" t="s">
        <v>12</v>
      </c>
      <c r="I58" s="36">
        <v>994873445230</v>
      </c>
      <c r="J58" s="36" t="s">
        <v>72</v>
      </c>
      <c r="K58" s="40" t="s">
        <v>25</v>
      </c>
      <c r="L58" s="31" t="s">
        <v>27</v>
      </c>
      <c r="M58" s="38" t="s">
        <v>13</v>
      </c>
    </row>
    <row r="59" spans="1:13" x14ac:dyDescent="0.35">
      <c r="A59" s="31">
        <v>55</v>
      </c>
      <c r="B59" s="32">
        <v>45883</v>
      </c>
      <c r="C59" s="32">
        <v>45884</v>
      </c>
      <c r="D59" s="33">
        <v>0.83333333333333337</v>
      </c>
      <c r="E59" s="33">
        <v>0.33333333333333331</v>
      </c>
      <c r="F59" s="39">
        <v>183000</v>
      </c>
      <c r="G59" s="39">
        <v>183000</v>
      </c>
      <c r="H59" s="35" t="s">
        <v>12</v>
      </c>
      <c r="I59" s="36">
        <v>994873445230</v>
      </c>
      <c r="J59" s="36" t="s">
        <v>72</v>
      </c>
      <c r="K59" s="40" t="s">
        <v>16</v>
      </c>
      <c r="L59" s="31" t="s">
        <v>27</v>
      </c>
      <c r="M59" s="38" t="s">
        <v>70</v>
      </c>
    </row>
    <row r="60" spans="1:13" x14ac:dyDescent="0.35">
      <c r="A60" s="31">
        <v>56</v>
      </c>
      <c r="B60" s="32">
        <v>45883</v>
      </c>
      <c r="C60" s="32">
        <v>45884</v>
      </c>
      <c r="D60" s="33">
        <v>0.83333333333333337</v>
      </c>
      <c r="E60" s="33">
        <v>0.33333333333333331</v>
      </c>
      <c r="F60" s="39">
        <v>347000</v>
      </c>
      <c r="G60" s="39">
        <v>347000</v>
      </c>
      <c r="H60" s="35" t="s">
        <v>12</v>
      </c>
      <c r="I60" s="36">
        <v>994873445230</v>
      </c>
      <c r="J60" s="36" t="s">
        <v>72</v>
      </c>
      <c r="K60" s="40" t="s">
        <v>15</v>
      </c>
      <c r="L60" s="31" t="s">
        <v>27</v>
      </c>
      <c r="M60" s="38" t="s">
        <v>13</v>
      </c>
    </row>
    <row r="61" spans="1:13" x14ac:dyDescent="0.35">
      <c r="A61" s="31">
        <v>57</v>
      </c>
      <c r="B61" s="32">
        <v>45884</v>
      </c>
      <c r="C61" s="32">
        <v>45884</v>
      </c>
      <c r="D61" s="33">
        <v>0.33333333333333331</v>
      </c>
      <c r="E61" s="33">
        <v>0.83333333333333337</v>
      </c>
      <c r="F61" s="39">
        <v>272000</v>
      </c>
      <c r="G61" s="39">
        <v>272000</v>
      </c>
      <c r="H61" s="35" t="s">
        <v>12</v>
      </c>
      <c r="I61" s="36">
        <v>994873445236</v>
      </c>
      <c r="J61" s="36" t="s">
        <v>73</v>
      </c>
      <c r="K61" s="40" t="s">
        <v>24</v>
      </c>
      <c r="L61" s="31" t="s">
        <v>27</v>
      </c>
      <c r="M61" s="38" t="s">
        <v>22</v>
      </c>
    </row>
    <row r="62" spans="1:13" x14ac:dyDescent="0.35">
      <c r="A62" s="31">
        <v>58</v>
      </c>
      <c r="B62" s="32">
        <v>45884</v>
      </c>
      <c r="C62" s="32">
        <v>45884</v>
      </c>
      <c r="D62" s="33">
        <v>0.33333333333333331</v>
      </c>
      <c r="E62" s="33">
        <v>0.83333333333333337</v>
      </c>
      <c r="F62" s="39">
        <v>993000</v>
      </c>
      <c r="G62" s="39">
        <v>993000</v>
      </c>
      <c r="H62" s="35" t="s">
        <v>12</v>
      </c>
      <c r="I62" s="36">
        <v>994873445236</v>
      </c>
      <c r="J62" s="36" t="s">
        <v>73</v>
      </c>
      <c r="K62" s="40" t="s">
        <v>20</v>
      </c>
      <c r="L62" s="31" t="s">
        <v>27</v>
      </c>
      <c r="M62" s="38" t="s">
        <v>13</v>
      </c>
    </row>
    <row r="63" spans="1:13" x14ac:dyDescent="0.35">
      <c r="A63" s="31">
        <v>59</v>
      </c>
      <c r="B63" s="32">
        <v>45884</v>
      </c>
      <c r="C63" s="32">
        <v>45885</v>
      </c>
      <c r="D63" s="33">
        <v>0.83333333333333337</v>
      </c>
      <c r="E63" s="33">
        <v>0.33333333333333331</v>
      </c>
      <c r="F63" s="39">
        <v>300000</v>
      </c>
      <c r="G63" s="39">
        <v>300000</v>
      </c>
      <c r="H63" s="35" t="s">
        <v>12</v>
      </c>
      <c r="I63" s="36">
        <v>994873445236</v>
      </c>
      <c r="J63" s="36" t="s">
        <v>73</v>
      </c>
      <c r="K63" s="40" t="s">
        <v>16</v>
      </c>
      <c r="L63" s="31" t="s">
        <v>27</v>
      </c>
      <c r="M63" s="38" t="s">
        <v>64</v>
      </c>
    </row>
    <row r="64" spans="1:13" x14ac:dyDescent="0.35">
      <c r="A64" s="31">
        <v>60</v>
      </c>
      <c r="B64" s="32">
        <v>45884</v>
      </c>
      <c r="C64" s="32">
        <v>45885</v>
      </c>
      <c r="D64" s="33">
        <v>0.83333333333333337</v>
      </c>
      <c r="E64" s="33">
        <v>0.33333333333333331</v>
      </c>
      <c r="F64" s="39">
        <v>545000</v>
      </c>
      <c r="G64" s="39">
        <v>545000</v>
      </c>
      <c r="H64" s="35" t="s">
        <v>12</v>
      </c>
      <c r="I64" s="36">
        <v>994873445236</v>
      </c>
      <c r="J64" s="36" t="s">
        <v>73</v>
      </c>
      <c r="K64" s="40" t="s">
        <v>15</v>
      </c>
      <c r="L64" s="31" t="s">
        <v>27</v>
      </c>
      <c r="M64" s="38" t="s">
        <v>13</v>
      </c>
    </row>
    <row r="65" spans="1:13" x14ac:dyDescent="0.35">
      <c r="A65" s="31">
        <v>61</v>
      </c>
      <c r="B65" s="32">
        <v>45885</v>
      </c>
      <c r="C65" s="32">
        <v>45885</v>
      </c>
      <c r="D65" s="33">
        <v>0.33333333333333331</v>
      </c>
      <c r="E65" s="33">
        <v>0.83333333333333337</v>
      </c>
      <c r="F65" s="39">
        <v>148000</v>
      </c>
      <c r="G65" s="39">
        <v>148000</v>
      </c>
      <c r="H65" s="35" t="s">
        <v>12</v>
      </c>
      <c r="I65" s="36">
        <v>987262151271</v>
      </c>
      <c r="J65" s="36" t="s">
        <v>79</v>
      </c>
      <c r="K65" s="40" t="s">
        <v>24</v>
      </c>
      <c r="L65" s="31" t="s">
        <v>27</v>
      </c>
      <c r="M65" s="38" t="s">
        <v>22</v>
      </c>
    </row>
    <row r="66" spans="1:13" x14ac:dyDescent="0.35">
      <c r="A66" s="31">
        <v>62</v>
      </c>
      <c r="B66" s="32">
        <v>45885</v>
      </c>
      <c r="C66" s="32">
        <v>45885</v>
      </c>
      <c r="D66" s="33">
        <v>0.33333333333333331</v>
      </c>
      <c r="E66" s="33">
        <v>0.83333333333333337</v>
      </c>
      <c r="F66" s="39">
        <v>899000</v>
      </c>
      <c r="G66" s="39">
        <v>899000</v>
      </c>
      <c r="H66" s="35" t="s">
        <v>12</v>
      </c>
      <c r="I66" s="36">
        <v>987262151271</v>
      </c>
      <c r="J66" s="36" t="s">
        <v>79</v>
      </c>
      <c r="K66" s="40" t="s">
        <v>20</v>
      </c>
      <c r="L66" s="31" t="s">
        <v>27</v>
      </c>
      <c r="M66" s="38" t="s">
        <v>13</v>
      </c>
    </row>
    <row r="67" spans="1:13" x14ac:dyDescent="0.35">
      <c r="A67" s="31">
        <v>63</v>
      </c>
      <c r="B67" s="32">
        <v>45885</v>
      </c>
      <c r="C67" s="32">
        <v>45886</v>
      </c>
      <c r="D67" s="33">
        <v>0.83333333333333337</v>
      </c>
      <c r="E67" s="33">
        <v>0.33333333333333331</v>
      </c>
      <c r="F67" s="39">
        <v>455000</v>
      </c>
      <c r="G67" s="39">
        <v>455000</v>
      </c>
      <c r="H67" s="35" t="s">
        <v>12</v>
      </c>
      <c r="I67" s="36">
        <v>987262151271</v>
      </c>
      <c r="J67" s="36" t="s">
        <v>79</v>
      </c>
      <c r="K67" s="40" t="s">
        <v>19</v>
      </c>
      <c r="L67" s="31" t="s">
        <v>27</v>
      </c>
      <c r="M67" s="38" t="s">
        <v>21</v>
      </c>
    </row>
    <row r="68" spans="1:13" x14ac:dyDescent="0.35">
      <c r="A68" s="31">
        <v>64</v>
      </c>
      <c r="B68" s="32">
        <v>45885</v>
      </c>
      <c r="C68" s="32">
        <v>45886</v>
      </c>
      <c r="D68" s="33">
        <v>0.83333333333333337</v>
      </c>
      <c r="E68" s="33">
        <v>0.33333333333333331</v>
      </c>
      <c r="F68" s="39">
        <v>414000</v>
      </c>
      <c r="G68" s="39">
        <v>414000</v>
      </c>
      <c r="H68" s="35" t="s">
        <v>12</v>
      </c>
      <c r="I68" s="36">
        <v>987262151271</v>
      </c>
      <c r="J68" s="36" t="s">
        <v>79</v>
      </c>
      <c r="K68" s="40" t="s">
        <v>15</v>
      </c>
      <c r="L68" s="31" t="s">
        <v>27</v>
      </c>
      <c r="M68" s="38" t="s">
        <v>13</v>
      </c>
    </row>
    <row r="69" spans="1:13" x14ac:dyDescent="0.35">
      <c r="A69" s="31">
        <v>65</v>
      </c>
      <c r="B69" s="32">
        <v>45886</v>
      </c>
      <c r="C69" s="32">
        <v>45886</v>
      </c>
      <c r="D69" s="33">
        <v>0.33333333333333331</v>
      </c>
      <c r="E69" s="33">
        <v>0.83333333333333337</v>
      </c>
      <c r="F69" s="39">
        <v>343000</v>
      </c>
      <c r="G69" s="39">
        <v>343000</v>
      </c>
      <c r="H69" s="35" t="s">
        <v>12</v>
      </c>
      <c r="I69" s="36">
        <v>994873445220</v>
      </c>
      <c r="J69" s="36" t="s">
        <v>75</v>
      </c>
      <c r="K69" s="40" t="s">
        <v>19</v>
      </c>
      <c r="L69" s="31" t="s">
        <v>27</v>
      </c>
      <c r="M69" s="38" t="s">
        <v>22</v>
      </c>
    </row>
    <row r="70" spans="1:13" x14ac:dyDescent="0.35">
      <c r="A70" s="31">
        <v>66</v>
      </c>
      <c r="B70" s="32">
        <v>45886</v>
      </c>
      <c r="C70" s="32">
        <v>45886</v>
      </c>
      <c r="D70" s="33">
        <v>0.33333333333333331</v>
      </c>
      <c r="E70" s="33">
        <v>0.83333333333333337</v>
      </c>
      <c r="F70" s="39">
        <v>1062000</v>
      </c>
      <c r="G70" s="39">
        <v>1062000</v>
      </c>
      <c r="H70" s="35" t="s">
        <v>12</v>
      </c>
      <c r="I70" s="36">
        <v>994873445220</v>
      </c>
      <c r="J70" s="36" t="s">
        <v>75</v>
      </c>
      <c r="K70" s="40" t="s">
        <v>20</v>
      </c>
      <c r="L70" s="31" t="s">
        <v>27</v>
      </c>
      <c r="M70" s="38" t="s">
        <v>71</v>
      </c>
    </row>
    <row r="71" spans="1:13" x14ac:dyDescent="0.35">
      <c r="A71" s="31">
        <v>67</v>
      </c>
      <c r="B71" s="32">
        <v>45886</v>
      </c>
      <c r="C71" s="32">
        <v>45887</v>
      </c>
      <c r="D71" s="33">
        <v>0.83333333333333337</v>
      </c>
      <c r="E71" s="33">
        <v>0.33333333333333331</v>
      </c>
      <c r="F71" s="39">
        <v>290000</v>
      </c>
      <c r="G71" s="39">
        <v>290000</v>
      </c>
      <c r="H71" s="35" t="s">
        <v>12</v>
      </c>
      <c r="I71" s="36">
        <v>994873445220</v>
      </c>
      <c r="J71" s="36" t="s">
        <v>75</v>
      </c>
      <c r="K71" s="40" t="s">
        <v>24</v>
      </c>
      <c r="L71" s="31" t="s">
        <v>27</v>
      </c>
      <c r="M71" s="38" t="s">
        <v>21</v>
      </c>
    </row>
    <row r="72" spans="1:13" x14ac:dyDescent="0.35">
      <c r="A72" s="31">
        <v>68</v>
      </c>
      <c r="B72" s="32">
        <v>45886</v>
      </c>
      <c r="C72" s="32">
        <v>45887</v>
      </c>
      <c r="D72" s="33">
        <v>0.83333333333333337</v>
      </c>
      <c r="E72" s="33">
        <v>0.33333333333333331</v>
      </c>
      <c r="F72" s="39">
        <v>421000</v>
      </c>
      <c r="G72" s="39">
        <v>421000</v>
      </c>
      <c r="H72" s="35" t="s">
        <v>12</v>
      </c>
      <c r="I72" s="36">
        <v>994873445220</v>
      </c>
      <c r="J72" s="36" t="s">
        <v>75</v>
      </c>
      <c r="K72" s="40" t="s">
        <v>15</v>
      </c>
      <c r="L72" s="31" t="s">
        <v>27</v>
      </c>
      <c r="M72" s="41" t="s">
        <v>13</v>
      </c>
    </row>
    <row r="73" spans="1:13" x14ac:dyDescent="0.35">
      <c r="A73" s="31">
        <v>69</v>
      </c>
      <c r="B73" s="32">
        <v>45887</v>
      </c>
      <c r="C73" s="32">
        <v>45887</v>
      </c>
      <c r="D73" s="33">
        <v>0.33333333333333331</v>
      </c>
      <c r="E73" s="33">
        <v>0.83333333333333337</v>
      </c>
      <c r="F73" s="39">
        <v>360000</v>
      </c>
      <c r="G73" s="39">
        <v>360000</v>
      </c>
      <c r="H73" s="35" t="s">
        <v>12</v>
      </c>
      <c r="I73" s="36">
        <v>994873447592</v>
      </c>
      <c r="J73" s="36" t="s">
        <v>74</v>
      </c>
      <c r="K73" s="40" t="s">
        <v>16</v>
      </c>
      <c r="L73" s="31" t="s">
        <v>27</v>
      </c>
      <c r="M73" s="38" t="s">
        <v>22</v>
      </c>
    </row>
    <row r="74" spans="1:13" x14ac:dyDescent="0.35">
      <c r="A74" s="31">
        <v>70</v>
      </c>
      <c r="B74" s="32">
        <v>45887</v>
      </c>
      <c r="C74" s="32">
        <v>45887</v>
      </c>
      <c r="D74" s="33">
        <v>0.33333333333333331</v>
      </c>
      <c r="E74" s="33">
        <v>0.83333333333333337</v>
      </c>
      <c r="F74" s="39">
        <v>1127000</v>
      </c>
      <c r="G74" s="39">
        <v>1127000</v>
      </c>
      <c r="H74" s="35" t="s">
        <v>12</v>
      </c>
      <c r="I74" s="36">
        <v>994873447592</v>
      </c>
      <c r="J74" s="36" t="s">
        <v>74</v>
      </c>
      <c r="K74" s="40" t="s">
        <v>20</v>
      </c>
      <c r="L74" s="31" t="s">
        <v>27</v>
      </c>
      <c r="M74" s="38" t="s">
        <v>13</v>
      </c>
    </row>
    <row r="75" spans="1:13" x14ac:dyDescent="0.35">
      <c r="A75" s="31">
        <v>71</v>
      </c>
      <c r="B75" s="32">
        <v>45887</v>
      </c>
      <c r="C75" s="32">
        <v>45888</v>
      </c>
      <c r="D75" s="33">
        <v>0.83333333333333337</v>
      </c>
      <c r="E75" s="33">
        <v>0.33333333333333331</v>
      </c>
      <c r="F75" s="39">
        <v>360000</v>
      </c>
      <c r="G75" s="39">
        <v>360000</v>
      </c>
      <c r="H75" s="35" t="s">
        <v>12</v>
      </c>
      <c r="I75" s="36">
        <v>994873447592</v>
      </c>
      <c r="J75" s="36" t="s">
        <v>74</v>
      </c>
      <c r="K75" s="40" t="s">
        <v>19</v>
      </c>
      <c r="L75" s="31" t="s">
        <v>27</v>
      </c>
      <c r="M75" s="38" t="s">
        <v>21</v>
      </c>
    </row>
    <row r="76" spans="1:13" x14ac:dyDescent="0.35">
      <c r="A76" s="31">
        <v>72</v>
      </c>
      <c r="B76" s="32">
        <v>45887</v>
      </c>
      <c r="C76" s="32">
        <v>45888</v>
      </c>
      <c r="D76" s="33">
        <v>0.83333333333333337</v>
      </c>
      <c r="E76" s="33">
        <v>0.33333333333333331</v>
      </c>
      <c r="F76" s="39">
        <v>161000</v>
      </c>
      <c r="G76" s="39">
        <v>161000</v>
      </c>
      <c r="H76" s="35" t="s">
        <v>12</v>
      </c>
      <c r="I76" s="36">
        <v>994873447592</v>
      </c>
      <c r="J76" s="36" t="s">
        <v>74</v>
      </c>
      <c r="K76" s="40" t="s">
        <v>25</v>
      </c>
      <c r="L76" s="31" t="s">
        <v>27</v>
      </c>
      <c r="M76" s="38" t="s">
        <v>13</v>
      </c>
    </row>
    <row r="77" spans="1:13" x14ac:dyDescent="0.35">
      <c r="A77" s="31">
        <v>73</v>
      </c>
      <c r="B77" s="32">
        <v>45888</v>
      </c>
      <c r="C77" s="32">
        <v>45888</v>
      </c>
      <c r="D77" s="33">
        <v>0.33333333333333331</v>
      </c>
      <c r="E77" s="33">
        <v>0.83333333333333337</v>
      </c>
      <c r="F77" s="39">
        <v>427000</v>
      </c>
      <c r="G77" s="39">
        <v>427000</v>
      </c>
      <c r="H77" s="35" t="s">
        <v>12</v>
      </c>
      <c r="I77" s="36">
        <v>994873450141</v>
      </c>
      <c r="J77" s="36" t="s">
        <v>78</v>
      </c>
      <c r="K77" s="40" t="s">
        <v>16</v>
      </c>
      <c r="L77" s="31" t="s">
        <v>27</v>
      </c>
      <c r="M77" s="38" t="s">
        <v>22</v>
      </c>
    </row>
    <row r="78" spans="1:13" x14ac:dyDescent="0.35">
      <c r="A78" s="31">
        <v>74</v>
      </c>
      <c r="B78" s="32">
        <v>45888</v>
      </c>
      <c r="C78" s="32">
        <v>45888</v>
      </c>
      <c r="D78" s="33">
        <v>0.33333333333333331</v>
      </c>
      <c r="E78" s="33">
        <v>0.83333333333333337</v>
      </c>
      <c r="F78" s="39">
        <v>1027000</v>
      </c>
      <c r="G78" s="39">
        <v>1027000</v>
      </c>
      <c r="H78" s="35" t="s">
        <v>12</v>
      </c>
      <c r="I78" s="36">
        <v>994873450141</v>
      </c>
      <c r="J78" s="36" t="s">
        <v>78</v>
      </c>
      <c r="K78" s="40" t="s">
        <v>25</v>
      </c>
      <c r="L78" s="31" t="s">
        <v>27</v>
      </c>
      <c r="M78" s="38" t="s">
        <v>13</v>
      </c>
    </row>
    <row r="79" spans="1:13" x14ac:dyDescent="0.35">
      <c r="A79" s="31">
        <v>75</v>
      </c>
      <c r="B79" s="32">
        <v>45888</v>
      </c>
      <c r="C79" s="32">
        <v>45889</v>
      </c>
      <c r="D79" s="33">
        <v>0.83333333333333337</v>
      </c>
      <c r="E79" s="33">
        <v>0.33333333333333331</v>
      </c>
      <c r="F79" s="39">
        <v>74000</v>
      </c>
      <c r="G79" s="39">
        <v>74000</v>
      </c>
      <c r="H79" s="35" t="s">
        <v>12</v>
      </c>
      <c r="I79" s="36">
        <v>994873450141</v>
      </c>
      <c r="J79" s="36" t="s">
        <v>78</v>
      </c>
      <c r="K79" s="40" t="s">
        <v>19</v>
      </c>
      <c r="L79" s="31" t="s">
        <v>27</v>
      </c>
      <c r="M79" s="38" t="s">
        <v>21</v>
      </c>
    </row>
    <row r="80" spans="1:13" x14ac:dyDescent="0.35">
      <c r="A80" s="31">
        <v>76</v>
      </c>
      <c r="B80" s="32">
        <v>45888</v>
      </c>
      <c r="C80" s="32">
        <v>45889</v>
      </c>
      <c r="D80" s="33">
        <v>0.83333333333333337</v>
      </c>
      <c r="E80" s="33">
        <v>0.33333333333333331</v>
      </c>
      <c r="F80" s="39">
        <v>459000</v>
      </c>
      <c r="G80" s="39">
        <v>459000</v>
      </c>
      <c r="H80" s="35" t="s">
        <v>12</v>
      </c>
      <c r="I80" s="36">
        <v>994873450141</v>
      </c>
      <c r="J80" s="36" t="s">
        <v>78</v>
      </c>
      <c r="K80" s="40" t="s">
        <v>20</v>
      </c>
      <c r="L80" s="31" t="s">
        <v>27</v>
      </c>
      <c r="M80" s="38" t="s">
        <v>13</v>
      </c>
    </row>
    <row r="81" spans="1:13" x14ac:dyDescent="0.35">
      <c r="A81" s="31">
        <v>77</v>
      </c>
      <c r="B81" s="32">
        <v>45889</v>
      </c>
      <c r="C81" s="32">
        <v>45889</v>
      </c>
      <c r="D81" s="33">
        <v>0.33333333333333331</v>
      </c>
      <c r="E81" s="33">
        <v>0.83333333333333337</v>
      </c>
      <c r="F81" s="39">
        <v>387000</v>
      </c>
      <c r="G81" s="39">
        <v>387000</v>
      </c>
      <c r="H81" s="35" t="s">
        <v>12</v>
      </c>
      <c r="I81" s="36">
        <v>994873450145</v>
      </c>
      <c r="J81" s="36" t="s">
        <v>77</v>
      </c>
      <c r="K81" s="40" t="s">
        <v>24</v>
      </c>
      <c r="L81" s="31" t="s">
        <v>27</v>
      </c>
      <c r="M81" s="38" t="s">
        <v>22</v>
      </c>
    </row>
    <row r="82" spans="1:13" x14ac:dyDescent="0.35">
      <c r="A82" s="31">
        <v>78</v>
      </c>
      <c r="B82" s="32">
        <v>45889</v>
      </c>
      <c r="C82" s="32">
        <v>45889</v>
      </c>
      <c r="D82" s="33">
        <v>0.33333333333333331</v>
      </c>
      <c r="E82" s="33">
        <v>0.83333333333333337</v>
      </c>
      <c r="F82" s="39">
        <v>877000</v>
      </c>
      <c r="G82" s="39">
        <v>877000</v>
      </c>
      <c r="H82" s="35" t="s">
        <v>12</v>
      </c>
      <c r="I82" s="36">
        <v>994873450145</v>
      </c>
      <c r="J82" s="36" t="s">
        <v>77</v>
      </c>
      <c r="K82" s="40" t="s">
        <v>15</v>
      </c>
      <c r="L82" s="31" t="s">
        <v>27</v>
      </c>
      <c r="M82" s="38" t="s">
        <v>13</v>
      </c>
    </row>
    <row r="83" spans="1:13" x14ac:dyDescent="0.35">
      <c r="A83" s="31">
        <v>79</v>
      </c>
      <c r="B83" s="32">
        <v>45889</v>
      </c>
      <c r="C83" s="32">
        <v>45890</v>
      </c>
      <c r="D83" s="33">
        <v>0.83333333333333337</v>
      </c>
      <c r="E83" s="33">
        <v>0.33333333333333331</v>
      </c>
      <c r="F83" s="39">
        <v>147000</v>
      </c>
      <c r="G83" s="39">
        <v>147000</v>
      </c>
      <c r="H83" s="35" t="s">
        <v>12</v>
      </c>
      <c r="I83" s="36">
        <v>994873450145</v>
      </c>
      <c r="J83" s="36" t="s">
        <v>77</v>
      </c>
      <c r="K83" s="40" t="s">
        <v>16</v>
      </c>
      <c r="L83" s="31" t="s">
        <v>27</v>
      </c>
      <c r="M83" s="38" t="s">
        <v>21</v>
      </c>
    </row>
    <row r="84" spans="1:13" x14ac:dyDescent="0.35">
      <c r="A84" s="31">
        <v>80</v>
      </c>
      <c r="B84" s="32">
        <v>45889</v>
      </c>
      <c r="C84" s="32">
        <v>45890</v>
      </c>
      <c r="D84" s="33">
        <v>0.83333333333333337</v>
      </c>
      <c r="E84" s="33">
        <v>0.33333333333333331</v>
      </c>
      <c r="F84" s="39">
        <v>535000</v>
      </c>
      <c r="G84" s="39">
        <v>535000</v>
      </c>
      <c r="H84" s="35" t="s">
        <v>12</v>
      </c>
      <c r="I84" s="36">
        <v>994873450145</v>
      </c>
      <c r="J84" s="36" t="s">
        <v>77</v>
      </c>
      <c r="K84" s="40" t="s">
        <v>25</v>
      </c>
      <c r="L84" s="31" t="s">
        <v>27</v>
      </c>
      <c r="M84" s="38" t="s">
        <v>76</v>
      </c>
    </row>
    <row r="85" spans="1:13" x14ac:dyDescent="0.35">
      <c r="A85" s="31">
        <v>81</v>
      </c>
      <c r="B85" s="32">
        <v>45890</v>
      </c>
      <c r="C85" s="32">
        <v>45890</v>
      </c>
      <c r="D85" s="33">
        <v>0.33333333333333331</v>
      </c>
      <c r="E85" s="33">
        <v>0.83333333333333337</v>
      </c>
      <c r="F85" s="39">
        <v>372000</v>
      </c>
      <c r="G85" s="39">
        <v>372000</v>
      </c>
      <c r="H85" s="35" t="s">
        <v>12</v>
      </c>
      <c r="I85" s="36">
        <v>987262150659</v>
      </c>
      <c r="J85" s="36" t="s">
        <v>81</v>
      </c>
      <c r="K85" s="40" t="s">
        <v>24</v>
      </c>
      <c r="L85" s="31" t="s">
        <v>27</v>
      </c>
      <c r="M85" s="38" t="s">
        <v>22</v>
      </c>
    </row>
    <row r="86" spans="1:13" x14ac:dyDescent="0.35">
      <c r="A86" s="31">
        <v>82</v>
      </c>
      <c r="B86" s="32">
        <v>45890</v>
      </c>
      <c r="C86" s="32">
        <v>45890</v>
      </c>
      <c r="D86" s="33">
        <v>0.33333333333333331</v>
      </c>
      <c r="E86" s="33">
        <v>0.83333333333333337</v>
      </c>
      <c r="F86" s="39">
        <v>942000</v>
      </c>
      <c r="G86" s="39">
        <v>942000</v>
      </c>
      <c r="H86" s="35" t="s">
        <v>12</v>
      </c>
      <c r="I86" s="36">
        <v>987262150659</v>
      </c>
      <c r="J86" s="36" t="s">
        <v>81</v>
      </c>
      <c r="K86" s="40" t="s">
        <v>15</v>
      </c>
      <c r="L86" s="31" t="s">
        <v>27</v>
      </c>
      <c r="M86" s="38" t="s">
        <v>13</v>
      </c>
    </row>
    <row r="87" spans="1:13" x14ac:dyDescent="0.35">
      <c r="A87" s="31">
        <v>83</v>
      </c>
      <c r="B87" s="32">
        <v>45890</v>
      </c>
      <c r="C87" s="32">
        <v>45891</v>
      </c>
      <c r="D87" s="33">
        <v>0.83333333333333337</v>
      </c>
      <c r="E87" s="33">
        <v>0.33333333333333331</v>
      </c>
      <c r="F87" s="39">
        <v>243000</v>
      </c>
      <c r="G87" s="39">
        <v>243000</v>
      </c>
      <c r="H87" s="35" t="s">
        <v>12</v>
      </c>
      <c r="I87" s="36">
        <v>987262150659</v>
      </c>
      <c r="J87" s="36" t="s">
        <v>81</v>
      </c>
      <c r="K87" s="40" t="s">
        <v>16</v>
      </c>
      <c r="L87" s="31" t="s">
        <v>27</v>
      </c>
      <c r="M87" s="38" t="s">
        <v>22</v>
      </c>
    </row>
    <row r="88" spans="1:13" x14ac:dyDescent="0.35">
      <c r="A88" s="31">
        <v>84</v>
      </c>
      <c r="B88" s="32">
        <v>45890</v>
      </c>
      <c r="C88" s="32">
        <v>45891</v>
      </c>
      <c r="D88" s="33">
        <v>0.83333333333333337</v>
      </c>
      <c r="E88" s="33">
        <v>0.33333333333333331</v>
      </c>
      <c r="F88" s="39">
        <v>411000</v>
      </c>
      <c r="G88" s="39">
        <v>411000</v>
      </c>
      <c r="H88" s="35" t="s">
        <v>12</v>
      </c>
      <c r="I88" s="36">
        <v>987262150659</v>
      </c>
      <c r="J88" s="36" t="s">
        <v>81</v>
      </c>
      <c r="K88" s="40" t="s">
        <v>25</v>
      </c>
      <c r="L88" s="31" t="s">
        <v>27</v>
      </c>
      <c r="M88" s="38" t="s">
        <v>13</v>
      </c>
    </row>
    <row r="89" spans="1:13" x14ac:dyDescent="0.35">
      <c r="A89" s="31">
        <v>85</v>
      </c>
      <c r="B89" s="32">
        <v>45891</v>
      </c>
      <c r="C89" s="32">
        <v>45891</v>
      </c>
      <c r="D89" s="33">
        <v>0.33333333333333331</v>
      </c>
      <c r="E89" s="33">
        <v>0.83333333333333337</v>
      </c>
      <c r="F89" s="39">
        <v>327000</v>
      </c>
      <c r="G89" s="39">
        <v>327000</v>
      </c>
      <c r="H89" s="35" t="s">
        <v>12</v>
      </c>
      <c r="I89" s="36">
        <v>987262168698</v>
      </c>
      <c r="J89" s="36" t="s">
        <v>82</v>
      </c>
      <c r="K89" s="40" t="s">
        <v>19</v>
      </c>
      <c r="L89" s="31" t="s">
        <v>27</v>
      </c>
      <c r="M89" s="38" t="s">
        <v>22</v>
      </c>
    </row>
    <row r="90" spans="1:13" x14ac:dyDescent="0.35">
      <c r="A90" s="31">
        <v>86</v>
      </c>
      <c r="B90" s="32">
        <v>45891</v>
      </c>
      <c r="C90" s="32">
        <v>45891</v>
      </c>
      <c r="D90" s="33">
        <v>0.33333333333333331</v>
      </c>
      <c r="E90" s="33">
        <v>0.83333333333333337</v>
      </c>
      <c r="F90" s="39">
        <v>1017000</v>
      </c>
      <c r="G90" s="39">
        <v>1017000</v>
      </c>
      <c r="H90" s="35" t="s">
        <v>12</v>
      </c>
      <c r="I90" s="36">
        <v>987262168698</v>
      </c>
      <c r="J90" s="36" t="s">
        <v>82</v>
      </c>
      <c r="K90" s="40" t="s">
        <v>20</v>
      </c>
      <c r="L90" s="31" t="s">
        <v>27</v>
      </c>
      <c r="M90" s="38" t="s">
        <v>13</v>
      </c>
    </row>
    <row r="91" spans="1:13" x14ac:dyDescent="0.35">
      <c r="A91" s="31">
        <v>87</v>
      </c>
      <c r="B91" s="32">
        <v>45891</v>
      </c>
      <c r="C91" s="32">
        <v>45892</v>
      </c>
      <c r="D91" s="33">
        <v>0.83333333333333337</v>
      </c>
      <c r="E91" s="33">
        <v>0.33333333333333331</v>
      </c>
      <c r="F91" s="39">
        <v>85000</v>
      </c>
      <c r="G91" s="39">
        <v>85000</v>
      </c>
      <c r="H91" s="35" t="s">
        <v>12</v>
      </c>
      <c r="I91" s="36">
        <v>987262168698</v>
      </c>
      <c r="J91" s="36" t="s">
        <v>82</v>
      </c>
      <c r="K91" s="40" t="s">
        <v>24</v>
      </c>
      <c r="L91" s="31" t="s">
        <v>27</v>
      </c>
      <c r="M91" s="38" t="s">
        <v>21</v>
      </c>
    </row>
    <row r="92" spans="1:13" x14ac:dyDescent="0.35">
      <c r="A92" s="31">
        <v>88</v>
      </c>
      <c r="B92" s="32">
        <v>45891</v>
      </c>
      <c r="C92" s="32">
        <v>45892</v>
      </c>
      <c r="D92" s="33">
        <v>0.83333333333333337</v>
      </c>
      <c r="E92" s="33">
        <v>0.33333333333333331</v>
      </c>
      <c r="F92" s="39">
        <v>522000</v>
      </c>
      <c r="G92" s="39">
        <v>522000</v>
      </c>
      <c r="H92" s="35" t="s">
        <v>12</v>
      </c>
      <c r="I92" s="36">
        <v>987262168698</v>
      </c>
      <c r="J92" s="36" t="s">
        <v>82</v>
      </c>
      <c r="K92" s="40" t="s">
        <v>25</v>
      </c>
      <c r="L92" s="31" t="s">
        <v>27</v>
      </c>
      <c r="M92" s="38" t="s">
        <v>13</v>
      </c>
    </row>
    <row r="93" spans="1:13" x14ac:dyDescent="0.35">
      <c r="A93" s="31">
        <v>89</v>
      </c>
      <c r="B93" s="32">
        <v>45892</v>
      </c>
      <c r="C93" s="32">
        <v>45892</v>
      </c>
      <c r="D93" s="33">
        <v>0.33333333333333331</v>
      </c>
      <c r="E93" s="33">
        <v>0.83333333333333337</v>
      </c>
      <c r="F93" s="39">
        <v>454000</v>
      </c>
      <c r="G93" s="39">
        <v>454000</v>
      </c>
      <c r="H93" s="35" t="s">
        <v>12</v>
      </c>
      <c r="I93" s="36">
        <v>987262197722</v>
      </c>
      <c r="J93" s="36" t="s">
        <v>85</v>
      </c>
      <c r="K93" s="40" t="s">
        <v>19</v>
      </c>
      <c r="L93" s="31" t="s">
        <v>27</v>
      </c>
      <c r="M93" s="38" t="s">
        <v>22</v>
      </c>
    </row>
    <row r="94" spans="1:13" x14ac:dyDescent="0.35">
      <c r="A94" s="31">
        <v>90</v>
      </c>
      <c r="B94" s="32">
        <v>45892</v>
      </c>
      <c r="C94" s="32">
        <v>45892</v>
      </c>
      <c r="D94" s="33">
        <v>0.33333333333333331</v>
      </c>
      <c r="E94" s="33">
        <v>0.83333333333333337</v>
      </c>
      <c r="F94" s="39">
        <v>983000</v>
      </c>
      <c r="G94" s="39">
        <v>983000</v>
      </c>
      <c r="H94" s="35" t="s">
        <v>12</v>
      </c>
      <c r="I94" s="36">
        <v>987262197722</v>
      </c>
      <c r="J94" s="36" t="s">
        <v>85</v>
      </c>
      <c r="K94" s="40" t="s">
        <v>20</v>
      </c>
      <c r="L94" s="31" t="s">
        <v>27</v>
      </c>
      <c r="M94" s="38" t="s">
        <v>13</v>
      </c>
    </row>
    <row r="95" spans="1:13" x14ac:dyDescent="0.35">
      <c r="A95" s="31">
        <v>91</v>
      </c>
      <c r="B95" s="32">
        <v>45892</v>
      </c>
      <c r="C95" s="32">
        <v>45893</v>
      </c>
      <c r="D95" s="33">
        <v>0.83333333333333337</v>
      </c>
      <c r="E95" s="33">
        <v>0.33333333333333331</v>
      </c>
      <c r="F95" s="39">
        <v>232000</v>
      </c>
      <c r="G95" s="39">
        <v>232000</v>
      </c>
      <c r="H95" s="35" t="s">
        <v>12</v>
      </c>
      <c r="I95" s="36">
        <v>987262197722</v>
      </c>
      <c r="J95" s="36" t="s">
        <v>85</v>
      </c>
      <c r="K95" s="40" t="s">
        <v>24</v>
      </c>
      <c r="L95" s="31" t="s">
        <v>27</v>
      </c>
      <c r="M95" s="38" t="s">
        <v>21</v>
      </c>
    </row>
    <row r="96" spans="1:13" x14ac:dyDescent="0.35">
      <c r="A96" s="31">
        <v>92</v>
      </c>
      <c r="B96" s="32">
        <v>45892</v>
      </c>
      <c r="C96" s="32">
        <v>45893</v>
      </c>
      <c r="D96" s="33">
        <v>0.83333333333333337</v>
      </c>
      <c r="E96" s="33">
        <v>0.33333333333333331</v>
      </c>
      <c r="F96" s="39">
        <v>592000</v>
      </c>
      <c r="G96" s="39">
        <v>592000</v>
      </c>
      <c r="H96" s="35" t="s">
        <v>12</v>
      </c>
      <c r="I96" s="36">
        <v>987262197722</v>
      </c>
      <c r="J96" s="36" t="s">
        <v>85</v>
      </c>
      <c r="K96" s="40" t="s">
        <v>25</v>
      </c>
      <c r="L96" s="31" t="s">
        <v>27</v>
      </c>
      <c r="M96" s="38" t="s">
        <v>13</v>
      </c>
    </row>
    <row r="97" spans="1:13" x14ac:dyDescent="0.35">
      <c r="A97" s="31">
        <v>93</v>
      </c>
      <c r="B97" s="32">
        <v>45893</v>
      </c>
      <c r="C97" s="32">
        <v>45893</v>
      </c>
      <c r="D97" s="33">
        <v>0.33333333333333331</v>
      </c>
      <c r="E97" s="33">
        <v>0.83333333333333337</v>
      </c>
      <c r="F97" s="39">
        <v>484000</v>
      </c>
      <c r="G97" s="39">
        <v>484000</v>
      </c>
      <c r="H97" s="35" t="s">
        <v>12</v>
      </c>
      <c r="I97" s="36">
        <v>987262277170</v>
      </c>
      <c r="J97" s="36">
        <v>925250364122113</v>
      </c>
      <c r="K97" s="40" t="s">
        <v>16</v>
      </c>
      <c r="L97" s="31" t="s">
        <v>27</v>
      </c>
      <c r="M97" s="38" t="s">
        <v>21</v>
      </c>
    </row>
    <row r="98" spans="1:13" x14ac:dyDescent="0.35">
      <c r="A98" s="31">
        <v>94</v>
      </c>
      <c r="B98" s="32">
        <v>45893</v>
      </c>
      <c r="C98" s="32">
        <v>45893</v>
      </c>
      <c r="D98" s="33">
        <v>0.33333333333333331</v>
      </c>
      <c r="E98" s="33">
        <v>0.83333333333333337</v>
      </c>
      <c r="F98" s="39">
        <v>1332000</v>
      </c>
      <c r="G98" s="39">
        <v>1332000</v>
      </c>
      <c r="H98" s="35" t="s">
        <v>12</v>
      </c>
      <c r="I98" s="36">
        <v>987262277170</v>
      </c>
      <c r="J98" s="36">
        <v>925250364122113</v>
      </c>
      <c r="K98" s="40" t="s">
        <v>15</v>
      </c>
      <c r="L98" s="31" t="s">
        <v>27</v>
      </c>
      <c r="M98" s="38" t="s">
        <v>83</v>
      </c>
    </row>
    <row r="99" spans="1:13" x14ac:dyDescent="0.35">
      <c r="A99" s="31">
        <v>95</v>
      </c>
      <c r="B99" s="32">
        <v>45893</v>
      </c>
      <c r="C99" s="32">
        <v>45894</v>
      </c>
      <c r="D99" s="33">
        <v>0.83333333333333337</v>
      </c>
      <c r="E99" s="33">
        <v>0.33333333333333331</v>
      </c>
      <c r="F99" s="39">
        <v>366000</v>
      </c>
      <c r="G99" s="39">
        <v>366000</v>
      </c>
      <c r="H99" s="35" t="s">
        <v>12</v>
      </c>
      <c r="I99" s="36">
        <v>987262277170</v>
      </c>
      <c r="J99" s="36">
        <v>925250364122113</v>
      </c>
      <c r="K99" s="40" t="s">
        <v>19</v>
      </c>
      <c r="L99" s="31" t="s">
        <v>27</v>
      </c>
      <c r="M99" s="38" t="s">
        <v>21</v>
      </c>
    </row>
    <row r="100" spans="1:13" x14ac:dyDescent="0.35">
      <c r="A100" s="31">
        <v>96</v>
      </c>
      <c r="B100" s="32">
        <v>45893</v>
      </c>
      <c r="C100" s="32">
        <v>45894</v>
      </c>
      <c r="D100" s="33">
        <v>0.83333333333333337</v>
      </c>
      <c r="E100" s="33">
        <v>0.33333333333333331</v>
      </c>
      <c r="F100" s="39">
        <v>654000</v>
      </c>
      <c r="G100" s="39">
        <v>654000</v>
      </c>
      <c r="H100" s="35" t="s">
        <v>12</v>
      </c>
      <c r="I100" s="36">
        <v>987262277170</v>
      </c>
      <c r="J100" s="36">
        <v>925250364122113</v>
      </c>
      <c r="K100" s="40" t="s">
        <v>15</v>
      </c>
      <c r="L100" s="31" t="s">
        <v>27</v>
      </c>
      <c r="M100" s="38" t="s">
        <v>13</v>
      </c>
    </row>
    <row r="101" spans="1:13" x14ac:dyDescent="0.35">
      <c r="A101" s="31">
        <v>97</v>
      </c>
      <c r="B101" s="32">
        <v>45894</v>
      </c>
      <c r="C101" s="32">
        <v>45894</v>
      </c>
      <c r="D101" s="33">
        <v>0.33333333333333331</v>
      </c>
      <c r="E101" s="33">
        <v>0.83333333333333337</v>
      </c>
      <c r="F101" s="39">
        <v>452000</v>
      </c>
      <c r="G101" s="39">
        <v>452000</v>
      </c>
      <c r="H101" s="35" t="s">
        <v>12</v>
      </c>
      <c r="I101" s="36">
        <v>987262197753</v>
      </c>
      <c r="J101" s="36" t="s">
        <v>87</v>
      </c>
      <c r="K101" s="40" t="s">
        <v>16</v>
      </c>
      <c r="L101" s="31" t="s">
        <v>27</v>
      </c>
      <c r="M101" s="38" t="s">
        <v>22</v>
      </c>
    </row>
    <row r="102" spans="1:13" x14ac:dyDescent="0.35">
      <c r="A102" s="31">
        <v>98</v>
      </c>
      <c r="B102" s="32">
        <v>45894</v>
      </c>
      <c r="C102" s="32">
        <v>45894</v>
      </c>
      <c r="D102" s="33">
        <v>0.33333333333333331</v>
      </c>
      <c r="E102" s="33">
        <v>0.83333333333333337</v>
      </c>
      <c r="F102" s="39">
        <v>1228000</v>
      </c>
      <c r="G102" s="39">
        <v>1228000</v>
      </c>
      <c r="H102" s="35" t="s">
        <v>12</v>
      </c>
      <c r="I102" s="36">
        <v>987262197753</v>
      </c>
      <c r="J102" s="36" t="s">
        <v>87</v>
      </c>
      <c r="K102" s="40" t="s">
        <v>15</v>
      </c>
      <c r="L102" s="31" t="s">
        <v>27</v>
      </c>
      <c r="M102" s="38" t="s">
        <v>13</v>
      </c>
    </row>
    <row r="103" spans="1:13" x14ac:dyDescent="0.35">
      <c r="A103" s="31">
        <v>99</v>
      </c>
      <c r="B103" s="32">
        <v>45894</v>
      </c>
      <c r="C103" s="32">
        <v>45895</v>
      </c>
      <c r="D103" s="33">
        <v>0.83333333333333337</v>
      </c>
      <c r="E103" s="33">
        <v>0.33333333333333331</v>
      </c>
      <c r="F103" s="39">
        <v>177000</v>
      </c>
      <c r="G103" s="39">
        <v>177000</v>
      </c>
      <c r="H103" s="35" t="s">
        <v>12</v>
      </c>
      <c r="I103" s="36">
        <v>987262197753</v>
      </c>
      <c r="J103" s="36" t="s">
        <v>87</v>
      </c>
      <c r="K103" s="40" t="s">
        <v>19</v>
      </c>
      <c r="L103" s="31" t="s">
        <v>27</v>
      </c>
      <c r="M103" s="38" t="s">
        <v>39</v>
      </c>
    </row>
    <row r="104" spans="1:13" x14ac:dyDescent="0.35">
      <c r="A104" s="31">
        <v>100</v>
      </c>
      <c r="B104" s="32">
        <v>45894</v>
      </c>
      <c r="C104" s="32">
        <v>45895</v>
      </c>
      <c r="D104" s="33">
        <v>0.83333333333333337</v>
      </c>
      <c r="E104" s="33">
        <v>0.33333333333333331</v>
      </c>
      <c r="F104" s="39">
        <v>379000</v>
      </c>
      <c r="G104" s="39">
        <v>379000</v>
      </c>
      <c r="H104" s="35" t="s">
        <v>12</v>
      </c>
      <c r="I104" s="36">
        <v>987262197753</v>
      </c>
      <c r="J104" s="36" t="s">
        <v>87</v>
      </c>
      <c r="K104" s="40" t="s">
        <v>20</v>
      </c>
      <c r="L104" s="31" t="s">
        <v>27</v>
      </c>
      <c r="M104" s="38" t="s">
        <v>13</v>
      </c>
    </row>
    <row r="105" spans="1:13" x14ac:dyDescent="0.35">
      <c r="A105" s="31">
        <v>101</v>
      </c>
      <c r="B105" s="32">
        <v>45895</v>
      </c>
      <c r="C105" s="32">
        <v>45895</v>
      </c>
      <c r="D105" s="33">
        <v>0.33333333333333331</v>
      </c>
      <c r="E105" s="33">
        <v>0.83333333333333337</v>
      </c>
      <c r="F105" s="39">
        <v>469000</v>
      </c>
      <c r="G105" s="39">
        <v>469000</v>
      </c>
      <c r="H105" s="35" t="s">
        <v>12</v>
      </c>
      <c r="I105" s="36">
        <v>987262197773</v>
      </c>
      <c r="J105" s="36" t="s">
        <v>86</v>
      </c>
      <c r="K105" s="40" t="s">
        <v>15</v>
      </c>
      <c r="L105" s="31" t="s">
        <v>27</v>
      </c>
      <c r="M105" s="38" t="s">
        <v>84</v>
      </c>
    </row>
    <row r="106" spans="1:13" x14ac:dyDescent="0.35">
      <c r="A106" s="31">
        <v>102</v>
      </c>
      <c r="B106" s="32">
        <v>45895</v>
      </c>
      <c r="C106" s="32">
        <v>45895</v>
      </c>
      <c r="D106" s="33">
        <v>0.33333333333333331</v>
      </c>
      <c r="E106" s="33">
        <v>0.83333333333333337</v>
      </c>
      <c r="F106" s="39">
        <v>1002000</v>
      </c>
      <c r="G106" s="39">
        <v>1002000</v>
      </c>
      <c r="H106" s="35" t="s">
        <v>12</v>
      </c>
      <c r="I106" s="36">
        <v>987262197773</v>
      </c>
      <c r="J106" s="36" t="s">
        <v>86</v>
      </c>
      <c r="K106" s="40" t="s">
        <v>24</v>
      </c>
      <c r="L106" s="31" t="s">
        <v>27</v>
      </c>
      <c r="M106" s="38" t="s">
        <v>13</v>
      </c>
    </row>
    <row r="107" spans="1:13" x14ac:dyDescent="0.35">
      <c r="A107" s="31">
        <v>103</v>
      </c>
      <c r="B107" s="32">
        <v>45895</v>
      </c>
      <c r="C107" s="32">
        <v>45896</v>
      </c>
      <c r="D107" s="33">
        <v>0.83333333333333337</v>
      </c>
      <c r="E107" s="33">
        <v>0.33333333333333331</v>
      </c>
      <c r="F107" s="39">
        <v>325000</v>
      </c>
      <c r="G107" s="39">
        <v>325000</v>
      </c>
      <c r="H107" s="35" t="s">
        <v>12</v>
      </c>
      <c r="I107" s="36">
        <v>987262197773</v>
      </c>
      <c r="J107" s="36" t="s">
        <v>86</v>
      </c>
      <c r="K107" s="40" t="s">
        <v>16</v>
      </c>
      <c r="L107" s="31" t="s">
        <v>27</v>
      </c>
      <c r="M107" s="38" t="s">
        <v>21</v>
      </c>
    </row>
    <row r="108" spans="1:13" x14ac:dyDescent="0.35">
      <c r="A108" s="31">
        <v>104</v>
      </c>
      <c r="B108" s="32">
        <v>45895</v>
      </c>
      <c r="C108" s="32">
        <v>45896</v>
      </c>
      <c r="D108" s="33">
        <v>0.83333333333333337</v>
      </c>
      <c r="E108" s="33">
        <v>0.33333333333333331</v>
      </c>
      <c r="F108" s="39">
        <v>395000</v>
      </c>
      <c r="G108" s="39">
        <v>395000</v>
      </c>
      <c r="H108" s="35" t="s">
        <v>12</v>
      </c>
      <c r="I108" s="36">
        <v>987262197773</v>
      </c>
      <c r="J108" s="36" t="s">
        <v>86</v>
      </c>
      <c r="K108" s="40" t="s">
        <v>25</v>
      </c>
      <c r="L108" s="31" t="s">
        <v>27</v>
      </c>
      <c r="M108" s="38" t="s">
        <v>13</v>
      </c>
    </row>
    <row r="109" spans="1:13" x14ac:dyDescent="0.35">
      <c r="A109" s="31">
        <v>105</v>
      </c>
      <c r="B109" s="32">
        <v>45896</v>
      </c>
      <c r="C109" s="32">
        <v>45896</v>
      </c>
      <c r="D109" s="33">
        <v>0.33333333333333331</v>
      </c>
      <c r="E109" s="33">
        <v>0.83333333333333337</v>
      </c>
      <c r="F109" s="39">
        <v>273000</v>
      </c>
      <c r="G109" s="39">
        <v>273000</v>
      </c>
      <c r="H109" s="35" t="s">
        <v>12</v>
      </c>
      <c r="I109" s="36">
        <v>987262204114</v>
      </c>
      <c r="J109" s="36" t="s">
        <v>88</v>
      </c>
      <c r="K109" s="40" t="s">
        <v>24</v>
      </c>
      <c r="L109" s="31" t="s">
        <v>27</v>
      </c>
      <c r="M109" s="38" t="s">
        <v>21</v>
      </c>
    </row>
    <row r="110" spans="1:13" x14ac:dyDescent="0.35">
      <c r="A110" s="31">
        <v>106</v>
      </c>
      <c r="B110" s="32">
        <v>45896</v>
      </c>
      <c r="C110" s="32">
        <v>45896</v>
      </c>
      <c r="D110" s="33">
        <v>0.33333333333333331</v>
      </c>
      <c r="E110" s="33">
        <v>0.83333333333333337</v>
      </c>
      <c r="F110" s="39">
        <v>1044000</v>
      </c>
      <c r="G110" s="39">
        <v>1044000</v>
      </c>
      <c r="H110" s="35" t="s">
        <v>12</v>
      </c>
      <c r="I110" s="36">
        <v>987262204114</v>
      </c>
      <c r="J110" s="36" t="s">
        <v>88</v>
      </c>
      <c r="K110" s="40" t="s">
        <v>15</v>
      </c>
      <c r="L110" s="31" t="s">
        <v>27</v>
      </c>
      <c r="M110" s="38" t="s">
        <v>13</v>
      </c>
    </row>
    <row r="111" spans="1:13" x14ac:dyDescent="0.35">
      <c r="A111" s="31">
        <v>107</v>
      </c>
      <c r="B111" s="32">
        <v>45896</v>
      </c>
      <c r="C111" s="32">
        <v>45897</v>
      </c>
      <c r="D111" s="33">
        <v>0.83333333333333337</v>
      </c>
      <c r="E111" s="33">
        <v>0.33333333333333331</v>
      </c>
      <c r="F111" s="39">
        <v>215000</v>
      </c>
      <c r="G111" s="39">
        <v>215000</v>
      </c>
      <c r="H111" s="35" t="s">
        <v>12</v>
      </c>
      <c r="I111" s="36">
        <v>987262204114</v>
      </c>
      <c r="J111" s="36" t="s">
        <v>88</v>
      </c>
      <c r="K111" s="40" t="s">
        <v>16</v>
      </c>
      <c r="L111" s="31" t="s">
        <v>27</v>
      </c>
      <c r="M111" s="38" t="s">
        <v>21</v>
      </c>
    </row>
    <row r="112" spans="1:13" x14ac:dyDescent="0.35">
      <c r="A112" s="31">
        <v>108</v>
      </c>
      <c r="B112" s="32">
        <v>45896</v>
      </c>
      <c r="C112" s="32">
        <v>45897</v>
      </c>
      <c r="D112" s="33">
        <v>0.83333333333333337</v>
      </c>
      <c r="E112" s="33">
        <v>0.33333333333333331</v>
      </c>
      <c r="F112" s="39">
        <v>597000</v>
      </c>
      <c r="G112" s="39">
        <v>597000</v>
      </c>
      <c r="H112" s="35" t="s">
        <v>12</v>
      </c>
      <c r="I112" s="36">
        <v>987262204114</v>
      </c>
      <c r="J112" s="36" t="s">
        <v>88</v>
      </c>
      <c r="K112" s="40" t="s">
        <v>25</v>
      </c>
      <c r="L112" s="31" t="s">
        <v>27</v>
      </c>
      <c r="M112" s="38" t="s">
        <v>13</v>
      </c>
    </row>
    <row r="113" spans="1:13" x14ac:dyDescent="0.35">
      <c r="A113" s="31">
        <v>109</v>
      </c>
      <c r="B113" s="32">
        <v>45897</v>
      </c>
      <c r="C113" s="32">
        <v>45897</v>
      </c>
      <c r="D113" s="33">
        <v>0.33333333333333331</v>
      </c>
      <c r="E113" s="33">
        <v>0.83333333333333337</v>
      </c>
      <c r="F113" s="39">
        <v>367000</v>
      </c>
      <c r="G113" s="39">
        <v>367000</v>
      </c>
      <c r="H113" s="35" t="s">
        <v>12</v>
      </c>
      <c r="I113" s="36">
        <v>987262212854</v>
      </c>
      <c r="J113" s="36" t="s">
        <v>89</v>
      </c>
      <c r="K113" s="40" t="s">
        <v>19</v>
      </c>
      <c r="L113" s="31" t="s">
        <v>27</v>
      </c>
      <c r="M113" s="38" t="s">
        <v>22</v>
      </c>
    </row>
    <row r="114" spans="1:13" x14ac:dyDescent="0.35">
      <c r="A114" s="31">
        <v>110</v>
      </c>
      <c r="B114" s="32">
        <v>45897</v>
      </c>
      <c r="C114" s="32">
        <v>45897</v>
      </c>
      <c r="D114" s="33">
        <v>0.33333333333333331</v>
      </c>
      <c r="E114" s="33">
        <v>0.83333333333333337</v>
      </c>
      <c r="F114" s="39">
        <v>1085000</v>
      </c>
      <c r="G114" s="39">
        <v>1085000</v>
      </c>
      <c r="H114" s="35" t="s">
        <v>12</v>
      </c>
      <c r="I114" s="36">
        <v>987262212854</v>
      </c>
      <c r="J114" s="36" t="s">
        <v>89</v>
      </c>
      <c r="K114" s="40" t="s">
        <v>25</v>
      </c>
      <c r="L114" s="31" t="s">
        <v>27</v>
      </c>
      <c r="M114" s="38" t="s">
        <v>13</v>
      </c>
    </row>
    <row r="115" spans="1:13" x14ac:dyDescent="0.35">
      <c r="A115" s="31">
        <v>111</v>
      </c>
      <c r="B115" s="32">
        <v>45897</v>
      </c>
      <c r="C115" s="32">
        <v>45898</v>
      </c>
      <c r="D115" s="33">
        <v>0.83333333333333337</v>
      </c>
      <c r="E115" s="33">
        <v>0.33333333333333331</v>
      </c>
      <c r="F115" s="39">
        <v>540000</v>
      </c>
      <c r="G115" s="39">
        <v>540000</v>
      </c>
      <c r="H115" s="35" t="s">
        <v>12</v>
      </c>
      <c r="I115" s="36">
        <v>987262212854</v>
      </c>
      <c r="J115" s="36" t="s">
        <v>89</v>
      </c>
      <c r="K115" s="40" t="s">
        <v>24</v>
      </c>
      <c r="L115" s="31" t="s">
        <v>27</v>
      </c>
      <c r="M115" s="38" t="s">
        <v>21</v>
      </c>
    </row>
    <row r="116" spans="1:13" x14ac:dyDescent="0.35">
      <c r="A116" s="31">
        <v>112</v>
      </c>
      <c r="B116" s="32">
        <v>45897</v>
      </c>
      <c r="C116" s="32">
        <v>45898</v>
      </c>
      <c r="D116" s="33">
        <v>0.83333333333333337</v>
      </c>
      <c r="E116" s="33">
        <v>0.33333333333333331</v>
      </c>
      <c r="F116" s="39">
        <v>467000</v>
      </c>
      <c r="G116" s="39">
        <v>467000</v>
      </c>
      <c r="H116" s="35" t="s">
        <v>12</v>
      </c>
      <c r="I116" s="36">
        <v>987262212854</v>
      </c>
      <c r="J116" s="36" t="s">
        <v>89</v>
      </c>
      <c r="K116" s="40" t="s">
        <v>20</v>
      </c>
      <c r="L116" s="31" t="s">
        <v>27</v>
      </c>
      <c r="M116" s="38" t="s">
        <v>13</v>
      </c>
    </row>
    <row r="117" spans="1:13" x14ac:dyDescent="0.35">
      <c r="A117" s="31">
        <v>113</v>
      </c>
      <c r="B117" s="32">
        <v>45898</v>
      </c>
      <c r="C117" s="32">
        <v>45898</v>
      </c>
      <c r="D117" s="33">
        <v>0.33333333333333331</v>
      </c>
      <c r="E117" s="33">
        <v>0.83333333333333337</v>
      </c>
      <c r="F117" s="39">
        <v>428000</v>
      </c>
      <c r="G117" s="39">
        <v>428000</v>
      </c>
      <c r="H117" s="35" t="s">
        <v>12</v>
      </c>
      <c r="I117" s="36">
        <v>987262258785</v>
      </c>
      <c r="J117" s="36" t="s">
        <v>94</v>
      </c>
      <c r="K117" s="40" t="s">
        <v>19</v>
      </c>
      <c r="L117" s="31" t="s">
        <v>27</v>
      </c>
      <c r="M117" s="38" t="s">
        <v>22</v>
      </c>
    </row>
    <row r="118" spans="1:13" x14ac:dyDescent="0.35">
      <c r="A118" s="31">
        <v>114</v>
      </c>
      <c r="B118" s="32">
        <v>45898</v>
      </c>
      <c r="C118" s="32">
        <v>45898</v>
      </c>
      <c r="D118" s="33">
        <v>0.33333333333333331</v>
      </c>
      <c r="E118" s="33">
        <v>0.83333333333333337</v>
      </c>
      <c r="F118" s="39">
        <v>1490000</v>
      </c>
      <c r="G118" s="39">
        <v>1490000</v>
      </c>
      <c r="H118" s="35" t="s">
        <v>12</v>
      </c>
      <c r="I118" s="36">
        <v>987262258785</v>
      </c>
      <c r="J118" s="36" t="s">
        <v>94</v>
      </c>
      <c r="K118" s="40" t="s">
        <v>15</v>
      </c>
      <c r="L118" s="31" t="s">
        <v>27</v>
      </c>
      <c r="M118" s="38" t="s">
        <v>13</v>
      </c>
    </row>
    <row r="119" spans="1:13" x14ac:dyDescent="0.35">
      <c r="A119" s="31">
        <v>115</v>
      </c>
      <c r="B119" s="32">
        <v>45898</v>
      </c>
      <c r="C119" s="32">
        <v>45899</v>
      </c>
      <c r="D119" s="33">
        <v>0.83333333333333337</v>
      </c>
      <c r="E119" s="33">
        <v>0.33333333333333331</v>
      </c>
      <c r="F119" s="39">
        <v>225000</v>
      </c>
      <c r="G119" s="39">
        <v>225000</v>
      </c>
      <c r="H119" s="35" t="s">
        <v>12</v>
      </c>
      <c r="I119" s="36">
        <v>987262258785</v>
      </c>
      <c r="J119" s="36" t="s">
        <v>94</v>
      </c>
      <c r="K119" s="40" t="s">
        <v>24</v>
      </c>
      <c r="L119" s="31" t="s">
        <v>27</v>
      </c>
      <c r="M119" s="38" t="s">
        <v>21</v>
      </c>
    </row>
    <row r="120" spans="1:13" x14ac:dyDescent="0.35">
      <c r="A120" s="31">
        <v>116</v>
      </c>
      <c r="B120" s="32">
        <v>45898</v>
      </c>
      <c r="C120" s="32">
        <v>45899</v>
      </c>
      <c r="D120" s="33">
        <v>0.83333333333333337</v>
      </c>
      <c r="E120" s="33">
        <v>0.33333333333333331</v>
      </c>
      <c r="F120" s="39">
        <v>388000</v>
      </c>
      <c r="G120" s="39">
        <v>388000</v>
      </c>
      <c r="H120" s="35" t="s">
        <v>12</v>
      </c>
      <c r="I120" s="36">
        <v>987262258785</v>
      </c>
      <c r="J120" s="36" t="s">
        <v>94</v>
      </c>
      <c r="K120" s="40" t="s">
        <v>19</v>
      </c>
      <c r="L120" s="31" t="s">
        <v>27</v>
      </c>
      <c r="M120" s="38" t="s">
        <v>13</v>
      </c>
    </row>
    <row r="121" spans="1:13" x14ac:dyDescent="0.35">
      <c r="A121" s="31">
        <v>117</v>
      </c>
      <c r="B121" s="32">
        <v>45899</v>
      </c>
      <c r="C121" s="32">
        <v>45899</v>
      </c>
      <c r="D121" s="33">
        <v>0.33333333333333331</v>
      </c>
      <c r="E121" s="33">
        <v>0.83333333333333337</v>
      </c>
      <c r="F121" s="39">
        <v>356000</v>
      </c>
      <c r="G121" s="39">
        <v>356000</v>
      </c>
      <c r="H121" s="35" t="s">
        <v>12</v>
      </c>
      <c r="I121" s="36">
        <v>987262258933</v>
      </c>
      <c r="J121" s="36" t="s">
        <v>93</v>
      </c>
      <c r="K121" s="40" t="s">
        <v>16</v>
      </c>
      <c r="L121" s="31" t="s">
        <v>27</v>
      </c>
      <c r="M121" s="38" t="s">
        <v>22</v>
      </c>
    </row>
    <row r="122" spans="1:13" x14ac:dyDescent="0.35">
      <c r="A122" s="31">
        <v>118</v>
      </c>
      <c r="B122" s="32">
        <v>45899</v>
      </c>
      <c r="C122" s="32">
        <v>45899</v>
      </c>
      <c r="D122" s="33">
        <v>0.33333333333333331</v>
      </c>
      <c r="E122" s="33">
        <v>0.83333333333333337</v>
      </c>
      <c r="F122" s="39">
        <v>1166000</v>
      </c>
      <c r="G122" s="39">
        <v>1166000</v>
      </c>
      <c r="H122" s="35" t="s">
        <v>12</v>
      </c>
      <c r="I122" s="36">
        <v>987262258933</v>
      </c>
      <c r="J122" s="36" t="s">
        <v>93</v>
      </c>
      <c r="K122" s="40" t="s">
        <v>15</v>
      </c>
      <c r="L122" s="31" t="s">
        <v>27</v>
      </c>
      <c r="M122" s="38" t="s">
        <v>13</v>
      </c>
    </row>
    <row r="123" spans="1:13" x14ac:dyDescent="0.35">
      <c r="A123" s="31">
        <v>119</v>
      </c>
      <c r="B123" s="32">
        <v>45899</v>
      </c>
      <c r="C123" s="32">
        <v>45900</v>
      </c>
      <c r="D123" s="33">
        <v>0.83333333333333337</v>
      </c>
      <c r="E123" s="33">
        <v>0.33333333333333331</v>
      </c>
      <c r="F123" s="39">
        <v>177000</v>
      </c>
      <c r="G123" s="39">
        <v>177000</v>
      </c>
      <c r="H123" s="35" t="s">
        <v>12</v>
      </c>
      <c r="I123" s="36">
        <v>987262258933</v>
      </c>
      <c r="J123" s="36" t="s">
        <v>93</v>
      </c>
      <c r="K123" s="40" t="s">
        <v>19</v>
      </c>
      <c r="L123" s="31" t="s">
        <v>27</v>
      </c>
      <c r="M123" s="38" t="s">
        <v>21</v>
      </c>
    </row>
    <row r="124" spans="1:13" x14ac:dyDescent="0.35">
      <c r="A124" s="31">
        <v>120</v>
      </c>
      <c r="B124" s="32">
        <v>45899</v>
      </c>
      <c r="C124" s="32">
        <v>45900</v>
      </c>
      <c r="D124" s="33">
        <v>0.83333333333333337</v>
      </c>
      <c r="E124" s="33">
        <v>0.33333333333333331</v>
      </c>
      <c r="F124" s="39">
        <v>511000</v>
      </c>
      <c r="G124" s="39">
        <v>511000</v>
      </c>
      <c r="H124" s="35" t="s">
        <v>12</v>
      </c>
      <c r="I124" s="36">
        <v>987262258933</v>
      </c>
      <c r="J124" s="36" t="s">
        <v>93</v>
      </c>
      <c r="K124" s="40" t="s">
        <v>20</v>
      </c>
      <c r="L124" s="31" t="s">
        <v>27</v>
      </c>
      <c r="M124" s="38" t="s">
        <v>13</v>
      </c>
    </row>
    <row r="125" spans="1:13" x14ac:dyDescent="0.35">
      <c r="A125" s="31">
        <v>121</v>
      </c>
      <c r="B125" s="32">
        <v>45900</v>
      </c>
      <c r="C125" s="32">
        <v>45900</v>
      </c>
      <c r="D125" s="33">
        <v>0.33333333333333331</v>
      </c>
      <c r="E125" s="33">
        <v>0.83333333333333337</v>
      </c>
      <c r="F125" s="39">
        <v>588000</v>
      </c>
      <c r="G125" s="39">
        <v>588000</v>
      </c>
      <c r="H125" s="35"/>
      <c r="I125" s="36">
        <v>987262258802</v>
      </c>
      <c r="J125" s="36" t="s">
        <v>92</v>
      </c>
      <c r="K125" s="40" t="s">
        <v>16</v>
      </c>
      <c r="L125" s="31" t="s">
        <v>27</v>
      </c>
      <c r="M125" s="38" t="s">
        <v>39</v>
      </c>
    </row>
    <row r="126" spans="1:13" x14ac:dyDescent="0.35">
      <c r="A126" s="31">
        <v>122</v>
      </c>
      <c r="B126" s="32">
        <v>45900</v>
      </c>
      <c r="C126" s="32">
        <v>45900</v>
      </c>
      <c r="D126" s="33">
        <v>0.33333333333333331</v>
      </c>
      <c r="E126" s="33">
        <v>0.83333333333333337</v>
      </c>
      <c r="F126" s="39">
        <v>1231000</v>
      </c>
      <c r="G126" s="39">
        <v>1231000</v>
      </c>
      <c r="H126" s="35"/>
      <c r="I126" s="36">
        <v>987262258802</v>
      </c>
      <c r="J126" s="36" t="s">
        <v>92</v>
      </c>
      <c r="K126" s="40" t="s">
        <v>15</v>
      </c>
      <c r="L126" s="31" t="s">
        <v>27</v>
      </c>
      <c r="M126" s="38" t="s">
        <v>13</v>
      </c>
    </row>
    <row r="127" spans="1:13" x14ac:dyDescent="0.35">
      <c r="A127" s="31">
        <v>123</v>
      </c>
      <c r="B127" s="32">
        <v>45900</v>
      </c>
      <c r="C127" s="32">
        <v>45901</v>
      </c>
      <c r="D127" s="33">
        <v>0.83333333333333337</v>
      </c>
      <c r="E127" s="33">
        <v>0.33333333333333331</v>
      </c>
      <c r="F127" s="39">
        <v>499000</v>
      </c>
      <c r="G127" s="39">
        <v>499000</v>
      </c>
      <c r="H127" s="35"/>
      <c r="I127" s="36">
        <v>987262258802</v>
      </c>
      <c r="J127" s="36" t="s">
        <v>92</v>
      </c>
      <c r="K127" s="40" t="s">
        <v>19</v>
      </c>
      <c r="L127" s="31" t="s">
        <v>27</v>
      </c>
      <c r="M127" s="38" t="s">
        <v>21</v>
      </c>
    </row>
    <row r="128" spans="1:13" x14ac:dyDescent="0.35">
      <c r="A128" s="31">
        <v>124</v>
      </c>
      <c r="B128" s="32">
        <v>45900</v>
      </c>
      <c r="C128" s="32">
        <v>45901</v>
      </c>
      <c r="D128" s="33">
        <v>0.83333333333333337</v>
      </c>
      <c r="E128" s="33">
        <v>0.33333333333333331</v>
      </c>
      <c r="F128" s="39">
        <v>694000</v>
      </c>
      <c r="G128" s="39">
        <v>694000</v>
      </c>
      <c r="H128" s="35"/>
      <c r="I128" s="36">
        <v>987262258802</v>
      </c>
      <c r="J128" s="36" t="s">
        <v>92</v>
      </c>
      <c r="K128" s="40" t="s">
        <v>20</v>
      </c>
      <c r="L128" s="31" t="s">
        <v>27</v>
      </c>
      <c r="M128" s="38" t="s">
        <v>13</v>
      </c>
    </row>
    <row r="129" spans="1:13" s="7" customFormat="1" x14ac:dyDescent="0.35">
      <c r="A129" s="18"/>
      <c r="B129" s="19"/>
      <c r="C129" s="19"/>
      <c r="D129" s="19"/>
      <c r="E129" s="19" t="s">
        <v>4</v>
      </c>
      <c r="F129" s="20">
        <f>SUM(F5:F128)</f>
        <v>68034000</v>
      </c>
      <c r="G129" s="21">
        <f>SUM(G5:G128)</f>
        <v>68034000</v>
      </c>
      <c r="H129" s="19"/>
      <c r="I129" s="19"/>
      <c r="J129" s="19"/>
      <c r="K129" s="19"/>
      <c r="L129" s="19"/>
      <c r="M129" s="17"/>
    </row>
  </sheetData>
  <mergeCells count="3">
    <mergeCell ref="B1:M1"/>
    <mergeCell ref="B2:M2"/>
    <mergeCell ref="B3:M3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116B-B372-488E-A978-37A8981EA963}">
  <dimension ref="A2:N136"/>
  <sheetViews>
    <sheetView topLeftCell="A124" zoomScaleNormal="100" workbookViewId="0">
      <selection activeCell="J117" sqref="J117"/>
    </sheetView>
  </sheetViews>
  <sheetFormatPr defaultRowHeight="14.5" x14ac:dyDescent="0.35"/>
  <cols>
    <col min="1" max="1" width="7.6328125" customWidth="1"/>
    <col min="2" max="2" width="12.1796875" customWidth="1"/>
    <col min="3" max="4" width="10.54296875" customWidth="1"/>
    <col min="5" max="5" width="10.1796875" customWidth="1"/>
    <col min="6" max="6" width="19.453125" customWidth="1"/>
    <col min="7" max="7" width="19.90625" customWidth="1"/>
    <col min="8" max="8" width="13" customWidth="1"/>
    <col min="9" max="9" width="16.7265625" customWidth="1"/>
    <col min="10" max="10" width="19.1796875" customWidth="1"/>
    <col min="11" max="11" width="15.81640625" customWidth="1"/>
    <col min="12" max="12" width="20.90625" customWidth="1"/>
    <col min="13" max="13" width="14.453125" customWidth="1"/>
  </cols>
  <sheetData>
    <row r="2" spans="1:13" ht="15" x14ac:dyDescent="0.35">
      <c r="A2" s="1"/>
      <c r="B2" s="321" t="s">
        <v>50</v>
      </c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3"/>
    </row>
    <row r="3" spans="1:13" ht="15" x14ac:dyDescent="0.35">
      <c r="A3" s="1"/>
      <c r="B3" s="324">
        <v>45901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6"/>
    </row>
    <row r="4" spans="1:13" ht="15" x14ac:dyDescent="0.35">
      <c r="A4" s="1"/>
      <c r="B4" s="321" t="s">
        <v>51</v>
      </c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3"/>
    </row>
    <row r="5" spans="1:13" x14ac:dyDescent="0.35">
      <c r="A5" s="10" t="s">
        <v>52</v>
      </c>
      <c r="B5" s="11" t="s">
        <v>2</v>
      </c>
      <c r="C5" s="12" t="s">
        <v>3</v>
      </c>
      <c r="D5" s="12" t="s">
        <v>0</v>
      </c>
      <c r="E5" s="12" t="s">
        <v>1</v>
      </c>
      <c r="F5" s="13" t="s">
        <v>10</v>
      </c>
      <c r="G5" s="14" t="s">
        <v>9</v>
      </c>
      <c r="H5" s="14" t="s">
        <v>11</v>
      </c>
      <c r="I5" s="15" t="s">
        <v>18</v>
      </c>
      <c r="J5" s="12" t="s">
        <v>17</v>
      </c>
      <c r="K5" s="16" t="s">
        <v>5</v>
      </c>
      <c r="L5" s="12" t="s">
        <v>8</v>
      </c>
      <c r="M5" s="17" t="s">
        <v>6</v>
      </c>
    </row>
    <row r="6" spans="1:13" x14ac:dyDescent="0.35">
      <c r="A6" s="43">
        <v>1</v>
      </c>
      <c r="B6" s="44">
        <v>45901</v>
      </c>
      <c r="C6" s="44">
        <v>45901</v>
      </c>
      <c r="D6" s="45">
        <v>0.33333333333333331</v>
      </c>
      <c r="E6" s="45">
        <v>0.83333333333333337</v>
      </c>
      <c r="F6" s="46">
        <v>378000</v>
      </c>
      <c r="G6" s="46">
        <v>378000</v>
      </c>
      <c r="H6" s="47" t="s">
        <v>12</v>
      </c>
      <c r="I6" s="48">
        <v>987262258813</v>
      </c>
      <c r="J6" s="48" t="s">
        <v>91</v>
      </c>
      <c r="K6" s="49" t="s">
        <v>24</v>
      </c>
      <c r="L6" s="43" t="s">
        <v>27</v>
      </c>
      <c r="M6" s="50" t="s">
        <v>22</v>
      </c>
    </row>
    <row r="7" spans="1:13" x14ac:dyDescent="0.35">
      <c r="A7" s="43">
        <v>2</v>
      </c>
      <c r="B7" s="44">
        <v>45901</v>
      </c>
      <c r="C7" s="44">
        <v>45901</v>
      </c>
      <c r="D7" s="45">
        <v>0.33333333333333331</v>
      </c>
      <c r="E7" s="45">
        <v>0.83333333333333337</v>
      </c>
      <c r="F7" s="46">
        <v>1093000</v>
      </c>
      <c r="G7" s="46">
        <v>1093000</v>
      </c>
      <c r="H7" s="47" t="s">
        <v>12</v>
      </c>
      <c r="I7" s="48">
        <v>987262258813</v>
      </c>
      <c r="J7" s="48" t="s">
        <v>91</v>
      </c>
      <c r="K7" s="49" t="s">
        <v>15</v>
      </c>
      <c r="L7" s="43" t="s">
        <v>27</v>
      </c>
      <c r="M7" s="50" t="s">
        <v>13</v>
      </c>
    </row>
    <row r="8" spans="1:13" x14ac:dyDescent="0.35">
      <c r="A8" s="43">
        <v>3</v>
      </c>
      <c r="B8" s="44">
        <v>45901</v>
      </c>
      <c r="C8" s="44">
        <v>45902</v>
      </c>
      <c r="D8" s="45">
        <v>0.83333333333333337</v>
      </c>
      <c r="E8" s="45">
        <v>0.33333333333333331</v>
      </c>
      <c r="F8" s="46">
        <v>356000</v>
      </c>
      <c r="G8" s="46">
        <v>356000</v>
      </c>
      <c r="H8" s="47" t="s">
        <v>12</v>
      </c>
      <c r="I8" s="48">
        <v>987262258813</v>
      </c>
      <c r="J8" s="48" t="s">
        <v>91</v>
      </c>
      <c r="K8" s="49" t="s">
        <v>25</v>
      </c>
      <c r="L8" s="43" t="s">
        <v>27</v>
      </c>
      <c r="M8" s="50" t="s">
        <v>22</v>
      </c>
    </row>
    <row r="9" spans="1:13" x14ac:dyDescent="0.35">
      <c r="A9" s="43">
        <v>4</v>
      </c>
      <c r="B9" s="44">
        <v>45901</v>
      </c>
      <c r="C9" s="44">
        <v>45902</v>
      </c>
      <c r="D9" s="45">
        <v>0.83333333333333337</v>
      </c>
      <c r="E9" s="45">
        <v>0.33333333333333331</v>
      </c>
      <c r="F9" s="46">
        <v>130000</v>
      </c>
      <c r="G9" s="46">
        <v>130000</v>
      </c>
      <c r="H9" s="47" t="s">
        <v>12</v>
      </c>
      <c r="I9" s="48">
        <v>987262258813</v>
      </c>
      <c r="J9" s="48" t="s">
        <v>91</v>
      </c>
      <c r="K9" s="49" t="s">
        <v>16</v>
      </c>
      <c r="L9" s="43" t="s">
        <v>27</v>
      </c>
      <c r="M9" s="50" t="s">
        <v>13</v>
      </c>
    </row>
    <row r="10" spans="1:13" x14ac:dyDescent="0.35">
      <c r="A10" s="43">
        <v>5</v>
      </c>
      <c r="B10" s="44">
        <v>45902</v>
      </c>
      <c r="C10" s="44">
        <v>45902</v>
      </c>
      <c r="D10" s="45">
        <v>0.33333333333333331</v>
      </c>
      <c r="E10" s="45">
        <v>0.83333333333333337</v>
      </c>
      <c r="F10" s="46">
        <v>632000</v>
      </c>
      <c r="G10" s="46">
        <v>632000</v>
      </c>
      <c r="H10" s="47" t="s">
        <v>12</v>
      </c>
      <c r="I10" s="48">
        <v>987262259822</v>
      </c>
      <c r="J10" s="48" t="s">
        <v>90</v>
      </c>
      <c r="K10" s="49" t="s">
        <v>24</v>
      </c>
      <c r="L10" s="43" t="s">
        <v>27</v>
      </c>
      <c r="M10" s="50" t="s">
        <v>22</v>
      </c>
    </row>
    <row r="11" spans="1:13" x14ac:dyDescent="0.35">
      <c r="A11" s="43">
        <v>6</v>
      </c>
      <c r="B11" s="44">
        <v>45902</v>
      </c>
      <c r="C11" s="44">
        <v>45902</v>
      </c>
      <c r="D11" s="45">
        <v>0.33333333333333331</v>
      </c>
      <c r="E11" s="45">
        <v>0.83333333333333337</v>
      </c>
      <c r="F11" s="46">
        <v>1070000</v>
      </c>
      <c r="G11" s="46">
        <v>1070000</v>
      </c>
      <c r="H11" s="47" t="s">
        <v>12</v>
      </c>
      <c r="I11" s="48">
        <v>987262259822</v>
      </c>
      <c r="J11" s="48" t="s">
        <v>90</v>
      </c>
      <c r="K11" s="49" t="s">
        <v>15</v>
      </c>
      <c r="L11" s="43" t="s">
        <v>27</v>
      </c>
      <c r="M11" s="50" t="s">
        <v>13</v>
      </c>
    </row>
    <row r="12" spans="1:13" x14ac:dyDescent="0.35">
      <c r="A12" s="43">
        <v>7</v>
      </c>
      <c r="B12" s="44">
        <v>45902</v>
      </c>
      <c r="C12" s="44">
        <v>45903</v>
      </c>
      <c r="D12" s="45">
        <v>0.83333333333333337</v>
      </c>
      <c r="E12" s="45">
        <v>0.33333333333333331</v>
      </c>
      <c r="F12" s="46">
        <v>459000</v>
      </c>
      <c r="G12" s="46">
        <v>459000</v>
      </c>
      <c r="H12" s="47" t="s">
        <v>12</v>
      </c>
      <c r="I12" s="48">
        <v>987262259822</v>
      </c>
      <c r="J12" s="48" t="s">
        <v>90</v>
      </c>
      <c r="K12" s="49" t="s">
        <v>25</v>
      </c>
      <c r="L12" s="43" t="s">
        <v>27</v>
      </c>
      <c r="M12" s="50" t="s">
        <v>22</v>
      </c>
    </row>
    <row r="13" spans="1:13" x14ac:dyDescent="0.35">
      <c r="A13" s="43">
        <v>8</v>
      </c>
      <c r="B13" s="44">
        <v>45902</v>
      </c>
      <c r="C13" s="44">
        <v>45903</v>
      </c>
      <c r="D13" s="45">
        <v>0.83333333333333337</v>
      </c>
      <c r="E13" s="45">
        <v>0.33333333333333331</v>
      </c>
      <c r="F13" s="46">
        <v>159000</v>
      </c>
      <c r="G13" s="46">
        <v>159000</v>
      </c>
      <c r="H13" s="47" t="s">
        <v>12</v>
      </c>
      <c r="I13" s="48">
        <v>987262259822</v>
      </c>
      <c r="J13" s="48" t="s">
        <v>90</v>
      </c>
      <c r="K13" s="49" t="s">
        <v>16</v>
      </c>
      <c r="L13" s="43" t="s">
        <v>27</v>
      </c>
      <c r="M13" s="50" t="s">
        <v>13</v>
      </c>
    </row>
    <row r="14" spans="1:13" x14ac:dyDescent="0.35">
      <c r="A14" s="43">
        <v>9</v>
      </c>
      <c r="B14" s="44">
        <v>45903</v>
      </c>
      <c r="C14" s="44">
        <v>45903</v>
      </c>
      <c r="D14" s="45">
        <v>0.33333333333333331</v>
      </c>
      <c r="E14" s="45">
        <v>0.83333333333333337</v>
      </c>
      <c r="F14" s="46">
        <v>399000</v>
      </c>
      <c r="G14" s="46">
        <v>399000</v>
      </c>
      <c r="H14" s="47" t="s">
        <v>12</v>
      </c>
      <c r="I14" s="48">
        <v>987262268933</v>
      </c>
      <c r="J14" s="48">
        <v>925248363691417</v>
      </c>
      <c r="K14" s="49" t="s">
        <v>19</v>
      </c>
      <c r="L14" s="43" t="s">
        <v>27</v>
      </c>
      <c r="M14" s="50" t="s">
        <v>22</v>
      </c>
    </row>
    <row r="15" spans="1:13" x14ac:dyDescent="0.35">
      <c r="A15" s="43">
        <v>10</v>
      </c>
      <c r="B15" s="44">
        <v>45903</v>
      </c>
      <c r="C15" s="44">
        <v>45903</v>
      </c>
      <c r="D15" s="45">
        <v>0.33333333333333331</v>
      </c>
      <c r="E15" s="45">
        <v>0.83333333333333337</v>
      </c>
      <c r="F15" s="46">
        <v>1289000</v>
      </c>
      <c r="G15" s="46">
        <v>1289000</v>
      </c>
      <c r="H15" s="47" t="s">
        <v>12</v>
      </c>
      <c r="I15" s="48">
        <v>987262268933</v>
      </c>
      <c r="J15" s="48">
        <v>925248363691417</v>
      </c>
      <c r="K15" s="49" t="s">
        <v>20</v>
      </c>
      <c r="L15" s="43" t="s">
        <v>27</v>
      </c>
      <c r="M15" s="50" t="s">
        <v>13</v>
      </c>
    </row>
    <row r="16" spans="1:13" x14ac:dyDescent="0.35">
      <c r="A16" s="43">
        <v>11</v>
      </c>
      <c r="B16" s="44">
        <v>45903</v>
      </c>
      <c r="C16" s="44">
        <v>45904</v>
      </c>
      <c r="D16" s="45">
        <v>0.83333333333333337</v>
      </c>
      <c r="E16" s="45">
        <v>0.33333333333333331</v>
      </c>
      <c r="F16" s="46">
        <v>461000</v>
      </c>
      <c r="G16" s="46">
        <v>461000</v>
      </c>
      <c r="H16" s="47" t="s">
        <v>12</v>
      </c>
      <c r="I16" s="48">
        <v>987262268933</v>
      </c>
      <c r="J16" s="48">
        <v>925248363691417</v>
      </c>
      <c r="K16" s="49" t="s">
        <v>25</v>
      </c>
      <c r="L16" s="43" t="s">
        <v>27</v>
      </c>
      <c r="M16" s="50" t="s">
        <v>22</v>
      </c>
    </row>
    <row r="17" spans="1:13" x14ac:dyDescent="0.35">
      <c r="A17" s="43">
        <v>12</v>
      </c>
      <c r="B17" s="44">
        <v>45903</v>
      </c>
      <c r="C17" s="44">
        <v>45904</v>
      </c>
      <c r="D17" s="45">
        <v>0.83333333333333337</v>
      </c>
      <c r="E17" s="45">
        <v>0.33333333333333331</v>
      </c>
      <c r="F17" s="46">
        <v>194000</v>
      </c>
      <c r="G17" s="46">
        <v>194000</v>
      </c>
      <c r="H17" s="47" t="s">
        <v>12</v>
      </c>
      <c r="I17" s="48">
        <v>987262268933</v>
      </c>
      <c r="J17" s="48">
        <v>925248363691417</v>
      </c>
      <c r="K17" s="49" t="s">
        <v>24</v>
      </c>
      <c r="L17" s="43" t="s">
        <v>27</v>
      </c>
      <c r="M17" s="50" t="s">
        <v>13</v>
      </c>
    </row>
    <row r="18" spans="1:13" x14ac:dyDescent="0.35">
      <c r="A18" s="43">
        <v>13</v>
      </c>
      <c r="B18" s="44">
        <v>45904</v>
      </c>
      <c r="C18" s="44">
        <v>45904</v>
      </c>
      <c r="D18" s="45">
        <v>0.33333333333333331</v>
      </c>
      <c r="E18" s="45">
        <v>0.83333333333333337</v>
      </c>
      <c r="F18" s="46">
        <v>314000</v>
      </c>
      <c r="G18" s="46">
        <v>314000</v>
      </c>
      <c r="H18" s="47" t="s">
        <v>12</v>
      </c>
      <c r="I18" s="48">
        <v>987262338131</v>
      </c>
      <c r="J18" s="48" t="s">
        <v>99</v>
      </c>
      <c r="K18" s="49" t="s">
        <v>19</v>
      </c>
      <c r="L18" s="43" t="s">
        <v>27</v>
      </c>
      <c r="M18" s="50" t="s">
        <v>22</v>
      </c>
    </row>
    <row r="19" spans="1:13" x14ac:dyDescent="0.35">
      <c r="A19" s="43">
        <v>14</v>
      </c>
      <c r="B19" s="44">
        <v>45904</v>
      </c>
      <c r="C19" s="44">
        <v>45904</v>
      </c>
      <c r="D19" s="45">
        <v>0.33333333333333331</v>
      </c>
      <c r="E19" s="45">
        <v>0.83333333333333337</v>
      </c>
      <c r="F19" s="46">
        <v>1182000</v>
      </c>
      <c r="G19" s="46">
        <v>1182000</v>
      </c>
      <c r="H19" s="47" t="s">
        <v>12</v>
      </c>
      <c r="I19" s="48">
        <v>987262338131</v>
      </c>
      <c r="J19" s="48" t="s">
        <v>99</v>
      </c>
      <c r="K19" s="49" t="s">
        <v>20</v>
      </c>
      <c r="L19" s="43" t="s">
        <v>27</v>
      </c>
      <c r="M19" s="50" t="s">
        <v>13</v>
      </c>
    </row>
    <row r="20" spans="1:13" x14ac:dyDescent="0.35">
      <c r="A20" s="43">
        <v>15</v>
      </c>
      <c r="B20" s="44">
        <v>45904</v>
      </c>
      <c r="C20" s="44">
        <v>45905</v>
      </c>
      <c r="D20" s="45">
        <v>0.83333333333333337</v>
      </c>
      <c r="E20" s="45">
        <v>0.33333333333333331</v>
      </c>
      <c r="F20" s="46">
        <v>120000</v>
      </c>
      <c r="G20" s="46">
        <v>120000</v>
      </c>
      <c r="H20" s="47" t="s">
        <v>12</v>
      </c>
      <c r="I20" s="48">
        <v>987262338131</v>
      </c>
      <c r="J20" s="48" t="s">
        <v>99</v>
      </c>
      <c r="K20" s="49" t="s">
        <v>24</v>
      </c>
      <c r="L20" s="43" t="s">
        <v>27</v>
      </c>
      <c r="M20" s="50" t="s">
        <v>22</v>
      </c>
    </row>
    <row r="21" spans="1:13" x14ac:dyDescent="0.35">
      <c r="A21" s="43">
        <v>16</v>
      </c>
      <c r="B21" s="44">
        <v>45904</v>
      </c>
      <c r="C21" s="44">
        <v>45905</v>
      </c>
      <c r="D21" s="45">
        <v>0.83333333333333337</v>
      </c>
      <c r="E21" s="45">
        <v>0.33333333333333331</v>
      </c>
      <c r="F21" s="46">
        <v>359000</v>
      </c>
      <c r="G21" s="46">
        <v>359000</v>
      </c>
      <c r="H21" s="47" t="s">
        <v>12</v>
      </c>
      <c r="I21" s="48">
        <v>987262338131</v>
      </c>
      <c r="J21" s="48" t="s">
        <v>99</v>
      </c>
      <c r="K21" s="49" t="s">
        <v>25</v>
      </c>
      <c r="L21" s="43" t="s">
        <v>27</v>
      </c>
      <c r="M21" s="50" t="s">
        <v>13</v>
      </c>
    </row>
    <row r="22" spans="1:13" x14ac:dyDescent="0.35">
      <c r="A22" s="43">
        <v>17</v>
      </c>
      <c r="B22" s="44">
        <v>45905</v>
      </c>
      <c r="C22" s="44">
        <v>45905</v>
      </c>
      <c r="D22" s="45">
        <v>0.33333333333333331</v>
      </c>
      <c r="E22" s="45">
        <v>0.83333333333333337</v>
      </c>
      <c r="F22" s="46">
        <v>500000</v>
      </c>
      <c r="G22" s="46">
        <v>500000</v>
      </c>
      <c r="H22" s="47" t="s">
        <v>12</v>
      </c>
      <c r="I22" s="48">
        <v>987262338149</v>
      </c>
      <c r="J22" s="48" t="s">
        <v>100</v>
      </c>
      <c r="K22" s="49" t="s">
        <v>16</v>
      </c>
      <c r="L22" s="43" t="s">
        <v>27</v>
      </c>
      <c r="M22" s="50" t="s">
        <v>95</v>
      </c>
    </row>
    <row r="23" spans="1:13" x14ac:dyDescent="0.35">
      <c r="A23" s="43">
        <v>18</v>
      </c>
      <c r="B23" s="44">
        <v>45905</v>
      </c>
      <c r="C23" s="44">
        <v>45905</v>
      </c>
      <c r="D23" s="45">
        <v>0.33333333333333331</v>
      </c>
      <c r="E23" s="45">
        <v>0.83333333333333337</v>
      </c>
      <c r="F23" s="46">
        <v>1165000</v>
      </c>
      <c r="G23" s="46">
        <v>1165000</v>
      </c>
      <c r="H23" s="47" t="s">
        <v>12</v>
      </c>
      <c r="I23" s="48">
        <v>987262338149</v>
      </c>
      <c r="J23" s="48" t="s">
        <v>100</v>
      </c>
      <c r="K23" s="49" t="s">
        <v>15</v>
      </c>
      <c r="L23" s="43" t="s">
        <v>27</v>
      </c>
      <c r="M23" s="50" t="s">
        <v>96</v>
      </c>
    </row>
    <row r="24" spans="1:13" x14ac:dyDescent="0.35">
      <c r="A24" s="43">
        <v>19</v>
      </c>
      <c r="B24" s="44">
        <v>45905</v>
      </c>
      <c r="C24" s="44">
        <v>45906</v>
      </c>
      <c r="D24" s="45">
        <v>0.83333333333333337</v>
      </c>
      <c r="E24" s="45">
        <v>0.33333333333333331</v>
      </c>
      <c r="F24" s="46">
        <v>223000</v>
      </c>
      <c r="G24" s="46">
        <v>223000</v>
      </c>
      <c r="H24" s="47" t="s">
        <v>12</v>
      </c>
      <c r="I24" s="48">
        <v>987262338149</v>
      </c>
      <c r="J24" s="48" t="s">
        <v>100</v>
      </c>
      <c r="K24" s="49" t="s">
        <v>19</v>
      </c>
      <c r="L24" s="43" t="s">
        <v>27</v>
      </c>
      <c r="M24" s="50" t="s">
        <v>22</v>
      </c>
    </row>
    <row r="25" spans="1:13" x14ac:dyDescent="0.35">
      <c r="A25" s="43">
        <v>20</v>
      </c>
      <c r="B25" s="44">
        <v>45905</v>
      </c>
      <c r="C25" s="44">
        <v>45906</v>
      </c>
      <c r="D25" s="45">
        <v>0.83333333333333337</v>
      </c>
      <c r="E25" s="45">
        <v>0.33333333333333331</v>
      </c>
      <c r="F25" s="46">
        <v>360000</v>
      </c>
      <c r="G25" s="46">
        <v>360000</v>
      </c>
      <c r="H25" s="47" t="s">
        <v>12</v>
      </c>
      <c r="I25" s="48">
        <v>987262338149</v>
      </c>
      <c r="J25" s="48" t="s">
        <v>100</v>
      </c>
      <c r="K25" s="49" t="s">
        <v>20</v>
      </c>
      <c r="L25" s="43" t="s">
        <v>27</v>
      </c>
      <c r="M25" s="50" t="s">
        <v>13</v>
      </c>
    </row>
    <row r="26" spans="1:13" x14ac:dyDescent="0.35">
      <c r="A26" s="43">
        <v>21</v>
      </c>
      <c r="B26" s="44">
        <v>45906</v>
      </c>
      <c r="C26" s="44">
        <v>45906</v>
      </c>
      <c r="D26" s="45">
        <v>0.33333333333333331</v>
      </c>
      <c r="E26" s="45">
        <v>0.83333333333333337</v>
      </c>
      <c r="F26" s="46">
        <v>410000</v>
      </c>
      <c r="G26" s="46">
        <v>410000</v>
      </c>
      <c r="H26" s="47" t="s">
        <v>12</v>
      </c>
      <c r="I26" s="48">
        <v>987262338329</v>
      </c>
      <c r="J26" s="48" t="s">
        <v>102</v>
      </c>
      <c r="K26" s="49" t="s">
        <v>16</v>
      </c>
      <c r="L26" s="43" t="s">
        <v>27</v>
      </c>
      <c r="M26" s="50" t="s">
        <v>22</v>
      </c>
    </row>
    <row r="27" spans="1:13" x14ac:dyDescent="0.35">
      <c r="A27" s="43">
        <v>22</v>
      </c>
      <c r="B27" s="44">
        <v>45906</v>
      </c>
      <c r="C27" s="44">
        <v>45906</v>
      </c>
      <c r="D27" s="45">
        <v>0.33333333333333331</v>
      </c>
      <c r="E27" s="45">
        <v>0.83333333333333337</v>
      </c>
      <c r="F27" s="46">
        <v>1066000</v>
      </c>
      <c r="G27" s="46">
        <v>1066000</v>
      </c>
      <c r="H27" s="47" t="s">
        <v>12</v>
      </c>
      <c r="I27" s="48">
        <v>987262338329</v>
      </c>
      <c r="J27" s="48" t="s">
        <v>102</v>
      </c>
      <c r="K27" s="49" t="s">
        <v>15</v>
      </c>
      <c r="L27" s="43" t="s">
        <v>27</v>
      </c>
      <c r="M27" s="50" t="s">
        <v>13</v>
      </c>
    </row>
    <row r="28" spans="1:13" x14ac:dyDescent="0.35">
      <c r="A28" s="43">
        <v>23</v>
      </c>
      <c r="B28" s="44">
        <v>45906</v>
      </c>
      <c r="C28" s="44">
        <v>45907</v>
      </c>
      <c r="D28" s="45">
        <v>0.83333333333333337</v>
      </c>
      <c r="E28" s="45">
        <v>0.33333333333333331</v>
      </c>
      <c r="F28" s="46">
        <v>282000</v>
      </c>
      <c r="G28" s="46">
        <v>282000</v>
      </c>
      <c r="H28" s="47" t="s">
        <v>12</v>
      </c>
      <c r="I28" s="48">
        <v>987262338329</v>
      </c>
      <c r="J28" s="48" t="s">
        <v>102</v>
      </c>
      <c r="K28" s="49" t="s">
        <v>19</v>
      </c>
      <c r="L28" s="43" t="s">
        <v>27</v>
      </c>
      <c r="M28" s="50" t="s">
        <v>22</v>
      </c>
    </row>
    <row r="29" spans="1:13" x14ac:dyDescent="0.35">
      <c r="A29" s="43">
        <v>24</v>
      </c>
      <c r="B29" s="44">
        <v>45906</v>
      </c>
      <c r="C29" s="44">
        <v>45907</v>
      </c>
      <c r="D29" s="45">
        <v>0.83333333333333337</v>
      </c>
      <c r="E29" s="45">
        <v>0.33333333333333331</v>
      </c>
      <c r="F29" s="46">
        <v>534000</v>
      </c>
      <c r="G29" s="46">
        <v>534000</v>
      </c>
      <c r="H29" s="47" t="s">
        <v>12</v>
      </c>
      <c r="I29" s="48">
        <v>987262338329</v>
      </c>
      <c r="J29" s="48" t="s">
        <v>102</v>
      </c>
      <c r="K29" s="49" t="s">
        <v>20</v>
      </c>
      <c r="L29" s="43" t="s">
        <v>27</v>
      </c>
      <c r="M29" s="50" t="s">
        <v>13</v>
      </c>
    </row>
    <row r="30" spans="1:13" x14ac:dyDescent="0.35">
      <c r="A30" s="43">
        <v>25</v>
      </c>
      <c r="B30" s="44">
        <v>45907</v>
      </c>
      <c r="C30" s="44">
        <v>45907</v>
      </c>
      <c r="D30" s="45">
        <v>0.33333333333333331</v>
      </c>
      <c r="E30" s="45">
        <v>0.83333333333333337</v>
      </c>
      <c r="F30" s="46">
        <v>738000</v>
      </c>
      <c r="G30" s="46">
        <v>738000</v>
      </c>
      <c r="H30" s="47" t="s">
        <v>12</v>
      </c>
      <c r="I30" s="48">
        <v>987262338164</v>
      </c>
      <c r="J30" s="48" t="s">
        <v>101</v>
      </c>
      <c r="K30" s="49" t="s">
        <v>24</v>
      </c>
      <c r="L30" s="43" t="s">
        <v>27</v>
      </c>
      <c r="M30" s="50" t="s">
        <v>22</v>
      </c>
    </row>
    <row r="31" spans="1:13" x14ac:dyDescent="0.35">
      <c r="A31" s="43">
        <v>26</v>
      </c>
      <c r="B31" s="44">
        <v>45907</v>
      </c>
      <c r="C31" s="44">
        <v>45907</v>
      </c>
      <c r="D31" s="45">
        <v>0.33333333333333331</v>
      </c>
      <c r="E31" s="45">
        <v>0.83333333333333337</v>
      </c>
      <c r="F31" s="46">
        <v>1468000</v>
      </c>
      <c r="G31" s="46">
        <v>1468000</v>
      </c>
      <c r="H31" s="47" t="s">
        <v>12</v>
      </c>
      <c r="I31" s="48">
        <v>987262338164</v>
      </c>
      <c r="J31" s="48" t="s">
        <v>101</v>
      </c>
      <c r="K31" s="49" t="s">
        <v>25</v>
      </c>
      <c r="L31" s="43" t="s">
        <v>27</v>
      </c>
      <c r="M31" s="50" t="s">
        <v>13</v>
      </c>
    </row>
    <row r="32" spans="1:13" x14ac:dyDescent="0.35">
      <c r="A32" s="43">
        <v>27</v>
      </c>
      <c r="B32" s="44">
        <v>45907</v>
      </c>
      <c r="C32" s="44">
        <v>45908</v>
      </c>
      <c r="D32" s="45">
        <v>0.83333333333333337</v>
      </c>
      <c r="E32" s="45">
        <v>0.33333333333333331</v>
      </c>
      <c r="F32" s="46">
        <v>567000</v>
      </c>
      <c r="G32" s="46">
        <v>567000</v>
      </c>
      <c r="H32" s="47" t="s">
        <v>12</v>
      </c>
      <c r="I32" s="48">
        <v>987262338164</v>
      </c>
      <c r="J32" s="48" t="s">
        <v>101</v>
      </c>
      <c r="K32" s="49" t="s">
        <v>16</v>
      </c>
      <c r="L32" s="43" t="s">
        <v>27</v>
      </c>
      <c r="M32" s="50" t="s">
        <v>22</v>
      </c>
    </row>
    <row r="33" spans="1:13" x14ac:dyDescent="0.35">
      <c r="A33" s="43">
        <v>28</v>
      </c>
      <c r="B33" s="44">
        <v>45907</v>
      </c>
      <c r="C33" s="44">
        <v>45908</v>
      </c>
      <c r="D33" s="45">
        <v>0.83333333333333337</v>
      </c>
      <c r="E33" s="45">
        <v>0.33333333333333331</v>
      </c>
      <c r="F33" s="46">
        <v>446000</v>
      </c>
      <c r="G33" s="46">
        <v>446000</v>
      </c>
      <c r="H33" s="47" t="s">
        <v>12</v>
      </c>
      <c r="I33" s="48">
        <v>987262338164</v>
      </c>
      <c r="J33" s="48" t="s">
        <v>101</v>
      </c>
      <c r="K33" s="49" t="s">
        <v>15</v>
      </c>
      <c r="L33" s="43" t="s">
        <v>27</v>
      </c>
      <c r="M33" s="50" t="s">
        <v>13</v>
      </c>
    </row>
    <row r="34" spans="1:13" x14ac:dyDescent="0.35">
      <c r="A34" s="43">
        <v>29</v>
      </c>
      <c r="B34" s="44">
        <v>45908</v>
      </c>
      <c r="C34" s="44">
        <v>45908</v>
      </c>
      <c r="D34" s="45">
        <v>0.33333333333333331</v>
      </c>
      <c r="E34" s="45">
        <v>0.83333333333333337</v>
      </c>
      <c r="F34" s="46">
        <v>556000</v>
      </c>
      <c r="G34" s="46">
        <v>556000</v>
      </c>
      <c r="H34" s="47" t="s">
        <v>12</v>
      </c>
      <c r="I34" s="48">
        <v>987262338223</v>
      </c>
      <c r="J34" s="48" t="s">
        <v>103</v>
      </c>
      <c r="K34" s="49" t="s">
        <v>24</v>
      </c>
      <c r="L34" s="43" t="s">
        <v>27</v>
      </c>
      <c r="M34" s="50" t="s">
        <v>97</v>
      </c>
    </row>
    <row r="35" spans="1:13" x14ac:dyDescent="0.35">
      <c r="A35" s="43">
        <v>30</v>
      </c>
      <c r="B35" s="44">
        <v>45908</v>
      </c>
      <c r="C35" s="44">
        <v>45908</v>
      </c>
      <c r="D35" s="45">
        <v>0.33333333333333331</v>
      </c>
      <c r="E35" s="45">
        <v>0.83333333333333337</v>
      </c>
      <c r="F35" s="46">
        <v>1235000</v>
      </c>
      <c r="G35" s="46">
        <v>1235000</v>
      </c>
      <c r="H35" s="47" t="s">
        <v>12</v>
      </c>
      <c r="I35" s="48">
        <v>987262338223</v>
      </c>
      <c r="J35" s="48" t="s">
        <v>103</v>
      </c>
      <c r="K35" s="49" t="s">
        <v>25</v>
      </c>
      <c r="L35" s="43" t="s">
        <v>27</v>
      </c>
      <c r="M35" s="50" t="s">
        <v>13</v>
      </c>
    </row>
    <row r="36" spans="1:13" x14ac:dyDescent="0.35">
      <c r="A36" s="43">
        <v>31</v>
      </c>
      <c r="B36" s="44">
        <v>45908</v>
      </c>
      <c r="C36" s="44">
        <v>45909</v>
      </c>
      <c r="D36" s="45">
        <v>0.83333333333333337</v>
      </c>
      <c r="E36" s="45">
        <v>0.33333333333333331</v>
      </c>
      <c r="F36" s="46">
        <v>179000</v>
      </c>
      <c r="G36" s="46">
        <v>179000</v>
      </c>
      <c r="H36" s="47" t="s">
        <v>12</v>
      </c>
      <c r="I36" s="48">
        <v>987262338223</v>
      </c>
      <c r="J36" s="48" t="s">
        <v>103</v>
      </c>
      <c r="K36" s="49" t="s">
        <v>16</v>
      </c>
      <c r="L36" s="43" t="s">
        <v>27</v>
      </c>
      <c r="M36" s="50" t="s">
        <v>22</v>
      </c>
    </row>
    <row r="37" spans="1:13" x14ac:dyDescent="0.35">
      <c r="A37" s="43">
        <v>32</v>
      </c>
      <c r="B37" s="44">
        <v>45908</v>
      </c>
      <c r="C37" s="44">
        <v>45909</v>
      </c>
      <c r="D37" s="45">
        <v>0.83333333333333337</v>
      </c>
      <c r="E37" s="45">
        <v>0.33333333333333331</v>
      </c>
      <c r="F37" s="46">
        <v>511000</v>
      </c>
      <c r="G37" s="46">
        <v>511000</v>
      </c>
      <c r="H37" s="47" t="s">
        <v>12</v>
      </c>
      <c r="I37" s="48">
        <v>987262338223</v>
      </c>
      <c r="J37" s="48" t="s">
        <v>103</v>
      </c>
      <c r="K37" s="49" t="s">
        <v>15</v>
      </c>
      <c r="L37" s="43" t="s">
        <v>27</v>
      </c>
      <c r="M37" s="50" t="s">
        <v>13</v>
      </c>
    </row>
    <row r="38" spans="1:13" x14ac:dyDescent="0.35">
      <c r="A38" s="43">
        <v>33</v>
      </c>
      <c r="B38" s="44">
        <v>45909</v>
      </c>
      <c r="C38" s="44">
        <v>45909</v>
      </c>
      <c r="D38" s="45">
        <v>0.33333333333333331</v>
      </c>
      <c r="E38" s="45">
        <v>0.83333333333333337</v>
      </c>
      <c r="F38" s="46">
        <v>467000</v>
      </c>
      <c r="G38" s="46">
        <v>467000</v>
      </c>
      <c r="H38" s="47" t="s">
        <v>12</v>
      </c>
      <c r="I38" s="48">
        <v>987262338240</v>
      </c>
      <c r="J38" s="48" t="s">
        <v>104</v>
      </c>
      <c r="K38" s="49" t="s">
        <v>19</v>
      </c>
      <c r="L38" s="43" t="s">
        <v>27</v>
      </c>
      <c r="M38" s="50" t="s">
        <v>22</v>
      </c>
    </row>
    <row r="39" spans="1:13" x14ac:dyDescent="0.35">
      <c r="A39" s="43">
        <v>34</v>
      </c>
      <c r="B39" s="44">
        <v>45909</v>
      </c>
      <c r="C39" s="44">
        <v>45909</v>
      </c>
      <c r="D39" s="45">
        <v>0.33333333333333331</v>
      </c>
      <c r="E39" s="45">
        <v>0.83333333333333337</v>
      </c>
      <c r="F39" s="46">
        <v>1040000</v>
      </c>
      <c r="G39" s="46">
        <v>1040000</v>
      </c>
      <c r="H39" s="47" t="s">
        <v>12</v>
      </c>
      <c r="I39" s="48">
        <v>987262338240</v>
      </c>
      <c r="J39" s="48" t="s">
        <v>104</v>
      </c>
      <c r="K39" s="49" t="s">
        <v>20</v>
      </c>
      <c r="L39" s="43" t="s">
        <v>27</v>
      </c>
      <c r="M39" s="50" t="s">
        <v>13</v>
      </c>
    </row>
    <row r="40" spans="1:13" x14ac:dyDescent="0.35">
      <c r="A40" s="43">
        <v>35</v>
      </c>
      <c r="B40" s="44">
        <v>45909</v>
      </c>
      <c r="C40" s="44">
        <v>45910</v>
      </c>
      <c r="D40" s="45">
        <v>0.83333333333333337</v>
      </c>
      <c r="E40" s="45">
        <v>0.33333333333333331</v>
      </c>
      <c r="F40" s="46">
        <v>357000</v>
      </c>
      <c r="G40" s="46">
        <v>357000</v>
      </c>
      <c r="H40" s="47" t="s">
        <v>12</v>
      </c>
      <c r="I40" s="48">
        <v>987262338240</v>
      </c>
      <c r="J40" s="48" t="s">
        <v>104</v>
      </c>
      <c r="K40" s="49" t="s">
        <v>25</v>
      </c>
      <c r="L40" s="43" t="s">
        <v>27</v>
      </c>
      <c r="M40" s="50" t="s">
        <v>22</v>
      </c>
    </row>
    <row r="41" spans="1:13" x14ac:dyDescent="0.35">
      <c r="A41" s="43">
        <v>36</v>
      </c>
      <c r="B41" s="44">
        <v>45909</v>
      </c>
      <c r="C41" s="44">
        <v>45910</v>
      </c>
      <c r="D41" s="45">
        <v>0.83333333333333337</v>
      </c>
      <c r="E41" s="45">
        <v>0.33333333333333331</v>
      </c>
      <c r="F41" s="46">
        <v>280000</v>
      </c>
      <c r="G41" s="46">
        <v>280000</v>
      </c>
      <c r="H41" s="47" t="s">
        <v>12</v>
      </c>
      <c r="I41" s="48">
        <v>987262338240</v>
      </c>
      <c r="J41" s="48" t="s">
        <v>104</v>
      </c>
      <c r="K41" s="49" t="s">
        <v>24</v>
      </c>
      <c r="L41" s="43" t="s">
        <v>27</v>
      </c>
      <c r="M41" s="50" t="s">
        <v>13</v>
      </c>
    </row>
    <row r="42" spans="1:13" x14ac:dyDescent="0.35">
      <c r="A42" s="43">
        <v>37</v>
      </c>
      <c r="B42" s="44">
        <v>45910</v>
      </c>
      <c r="C42" s="44">
        <v>45910</v>
      </c>
      <c r="D42" s="45">
        <v>0.33333333333333331</v>
      </c>
      <c r="E42" s="45">
        <v>0.83333333333333337</v>
      </c>
      <c r="F42" s="46">
        <v>302000</v>
      </c>
      <c r="G42" s="46">
        <v>302000</v>
      </c>
      <c r="H42" s="47" t="s">
        <v>12</v>
      </c>
      <c r="I42" s="48">
        <v>987262338313</v>
      </c>
      <c r="J42" s="48" t="s">
        <v>99</v>
      </c>
      <c r="K42" s="49" t="s">
        <v>19</v>
      </c>
      <c r="L42" s="43" t="s">
        <v>27</v>
      </c>
      <c r="M42" s="50" t="s">
        <v>22</v>
      </c>
    </row>
    <row r="43" spans="1:13" x14ac:dyDescent="0.35">
      <c r="A43" s="43">
        <v>38</v>
      </c>
      <c r="B43" s="44">
        <v>45910</v>
      </c>
      <c r="C43" s="44">
        <v>45910</v>
      </c>
      <c r="D43" s="45">
        <v>0.33333333333333331</v>
      </c>
      <c r="E43" s="45">
        <v>0.83333333333333337</v>
      </c>
      <c r="F43" s="46">
        <v>1038000</v>
      </c>
      <c r="G43" s="46">
        <v>1038000</v>
      </c>
      <c r="H43" s="47" t="s">
        <v>12</v>
      </c>
      <c r="I43" s="48">
        <v>987262338313</v>
      </c>
      <c r="J43" s="48" t="s">
        <v>99</v>
      </c>
      <c r="K43" s="49" t="s">
        <v>20</v>
      </c>
      <c r="L43" s="43" t="s">
        <v>27</v>
      </c>
      <c r="M43" s="50" t="s">
        <v>13</v>
      </c>
    </row>
    <row r="44" spans="1:13" x14ac:dyDescent="0.35">
      <c r="A44" s="43">
        <v>39</v>
      </c>
      <c r="B44" s="44">
        <v>45910</v>
      </c>
      <c r="C44" s="44">
        <v>45911</v>
      </c>
      <c r="D44" s="45">
        <v>0.83333333333333337</v>
      </c>
      <c r="E44" s="45">
        <v>0.33333333333333331</v>
      </c>
      <c r="F44" s="46">
        <v>214000</v>
      </c>
      <c r="G44" s="46">
        <v>214000</v>
      </c>
      <c r="H44" s="47" t="s">
        <v>12</v>
      </c>
      <c r="I44" s="48">
        <v>987262338313</v>
      </c>
      <c r="J44" s="48" t="s">
        <v>99</v>
      </c>
      <c r="K44" s="49" t="s">
        <v>24</v>
      </c>
      <c r="L44" s="43" t="s">
        <v>27</v>
      </c>
      <c r="M44" s="50" t="s">
        <v>22</v>
      </c>
    </row>
    <row r="45" spans="1:13" x14ac:dyDescent="0.35">
      <c r="A45" s="43">
        <v>40</v>
      </c>
      <c r="B45" s="44">
        <v>45910</v>
      </c>
      <c r="C45" s="44">
        <v>45911</v>
      </c>
      <c r="D45" s="45">
        <v>0.83333333333333337</v>
      </c>
      <c r="E45" s="45">
        <v>0.33333333333333331</v>
      </c>
      <c r="F45" s="46">
        <v>375000</v>
      </c>
      <c r="G45" s="46">
        <v>375000</v>
      </c>
      <c r="H45" s="47" t="s">
        <v>12</v>
      </c>
      <c r="I45" s="48">
        <v>987262338313</v>
      </c>
      <c r="J45" s="48" t="s">
        <v>99</v>
      </c>
      <c r="K45" s="49" t="s">
        <v>25</v>
      </c>
      <c r="L45" s="43" t="s">
        <v>27</v>
      </c>
      <c r="M45" s="50" t="s">
        <v>13</v>
      </c>
    </row>
    <row r="46" spans="1:13" x14ac:dyDescent="0.35">
      <c r="A46" s="43">
        <v>41</v>
      </c>
      <c r="B46" s="44">
        <v>45911</v>
      </c>
      <c r="C46" s="44">
        <v>45911</v>
      </c>
      <c r="D46" s="45">
        <v>0.33333333333333331</v>
      </c>
      <c r="E46" s="45">
        <v>0.83333333333333337</v>
      </c>
      <c r="F46" s="46">
        <v>368000</v>
      </c>
      <c r="G46" s="46">
        <v>368000</v>
      </c>
      <c r="H46" s="47" t="s">
        <v>12</v>
      </c>
      <c r="I46" s="48">
        <v>987262352152</v>
      </c>
      <c r="J46" s="48">
        <v>925258366172161</v>
      </c>
      <c r="K46" s="49" t="s">
        <v>16</v>
      </c>
      <c r="L46" s="43" t="s">
        <v>27</v>
      </c>
      <c r="M46" s="50" t="s">
        <v>98</v>
      </c>
    </row>
    <row r="47" spans="1:13" x14ac:dyDescent="0.35">
      <c r="A47" s="43">
        <v>42</v>
      </c>
      <c r="B47" s="44">
        <v>45911</v>
      </c>
      <c r="C47" s="44">
        <v>45911</v>
      </c>
      <c r="D47" s="45">
        <v>0.33333333333333331</v>
      </c>
      <c r="E47" s="45">
        <v>0.83333333333333337</v>
      </c>
      <c r="F47" s="46">
        <v>1105000</v>
      </c>
      <c r="G47" s="46">
        <v>1105000</v>
      </c>
      <c r="H47" s="47" t="s">
        <v>12</v>
      </c>
      <c r="I47" s="48">
        <v>987262352152</v>
      </c>
      <c r="J47" s="48">
        <v>925258366172161</v>
      </c>
      <c r="K47" s="49" t="s">
        <v>15</v>
      </c>
      <c r="L47" s="43" t="s">
        <v>27</v>
      </c>
      <c r="M47" s="50" t="s">
        <v>13</v>
      </c>
    </row>
    <row r="48" spans="1:13" x14ac:dyDescent="0.35">
      <c r="A48" s="43">
        <v>43</v>
      </c>
      <c r="B48" s="44">
        <v>45911</v>
      </c>
      <c r="C48" s="44">
        <v>45912</v>
      </c>
      <c r="D48" s="45">
        <v>0.83333333333333337</v>
      </c>
      <c r="E48" s="45">
        <v>0.33333333333333331</v>
      </c>
      <c r="F48" s="46">
        <v>77000</v>
      </c>
      <c r="G48" s="46">
        <v>77000</v>
      </c>
      <c r="H48" s="47" t="s">
        <v>12</v>
      </c>
      <c r="I48" s="48">
        <v>987262352152</v>
      </c>
      <c r="J48" s="48">
        <v>925258366172161</v>
      </c>
      <c r="K48" s="49" t="s">
        <v>19</v>
      </c>
      <c r="L48" s="43" t="s">
        <v>27</v>
      </c>
      <c r="M48" s="50" t="s">
        <v>22</v>
      </c>
    </row>
    <row r="49" spans="1:13" x14ac:dyDescent="0.35">
      <c r="A49" s="43">
        <v>44</v>
      </c>
      <c r="B49" s="44">
        <v>45911</v>
      </c>
      <c r="C49" s="44">
        <v>45912</v>
      </c>
      <c r="D49" s="45">
        <v>0.83333333333333337</v>
      </c>
      <c r="E49" s="45">
        <v>0.33333333333333331</v>
      </c>
      <c r="F49" s="46">
        <v>453000</v>
      </c>
      <c r="G49" s="46">
        <v>453000</v>
      </c>
      <c r="H49" s="47" t="s">
        <v>12</v>
      </c>
      <c r="I49" s="48">
        <v>987262352152</v>
      </c>
      <c r="J49" s="48">
        <v>925258366172161</v>
      </c>
      <c r="K49" s="49" t="s">
        <v>20</v>
      </c>
      <c r="L49" s="43" t="s">
        <v>27</v>
      </c>
      <c r="M49" s="50" t="s">
        <v>13</v>
      </c>
    </row>
    <row r="50" spans="1:13" x14ac:dyDescent="0.35">
      <c r="A50" s="43">
        <v>45</v>
      </c>
      <c r="B50" s="44">
        <v>45912</v>
      </c>
      <c r="C50" s="44">
        <v>45912</v>
      </c>
      <c r="D50" s="45">
        <v>0.33333333333333331</v>
      </c>
      <c r="E50" s="45">
        <v>0.83333333333333337</v>
      </c>
      <c r="F50" s="46">
        <v>232000</v>
      </c>
      <c r="G50" s="46">
        <v>232000</v>
      </c>
      <c r="H50" s="47" t="s">
        <v>12</v>
      </c>
      <c r="I50" s="48">
        <v>987262352163</v>
      </c>
      <c r="J50" s="48" t="s">
        <v>105</v>
      </c>
      <c r="K50" s="49" t="s">
        <v>16</v>
      </c>
      <c r="L50" s="43" t="s">
        <v>27</v>
      </c>
      <c r="M50" s="50" t="s">
        <v>22</v>
      </c>
    </row>
    <row r="51" spans="1:13" x14ac:dyDescent="0.35">
      <c r="A51" s="43">
        <v>46</v>
      </c>
      <c r="B51" s="44">
        <v>45912</v>
      </c>
      <c r="C51" s="44">
        <v>45912</v>
      </c>
      <c r="D51" s="45">
        <v>0.33333333333333331</v>
      </c>
      <c r="E51" s="45">
        <v>0.83333333333333337</v>
      </c>
      <c r="F51" s="46">
        <v>1211000</v>
      </c>
      <c r="G51" s="46">
        <v>1211000</v>
      </c>
      <c r="H51" s="47" t="s">
        <v>12</v>
      </c>
      <c r="I51" s="48">
        <v>987262352163</v>
      </c>
      <c r="J51" s="48" t="s">
        <v>105</v>
      </c>
      <c r="K51" s="49" t="s">
        <v>15</v>
      </c>
      <c r="L51" s="43" t="s">
        <v>27</v>
      </c>
      <c r="M51" s="50" t="s">
        <v>13</v>
      </c>
    </row>
    <row r="52" spans="1:13" x14ac:dyDescent="0.35">
      <c r="A52" s="43">
        <v>47</v>
      </c>
      <c r="B52" s="44">
        <v>45912</v>
      </c>
      <c r="C52" s="44">
        <v>45913</v>
      </c>
      <c r="D52" s="45">
        <v>0.83333333333333337</v>
      </c>
      <c r="E52" s="45">
        <v>0.33333333333333331</v>
      </c>
      <c r="F52" s="46">
        <v>156000</v>
      </c>
      <c r="G52" s="46">
        <v>156000</v>
      </c>
      <c r="H52" s="47" t="s">
        <v>12</v>
      </c>
      <c r="I52" s="48">
        <v>987262352163</v>
      </c>
      <c r="J52" s="48" t="s">
        <v>105</v>
      </c>
      <c r="K52" s="49" t="s">
        <v>19</v>
      </c>
      <c r="L52" s="43" t="s">
        <v>27</v>
      </c>
      <c r="M52" s="50" t="s">
        <v>22</v>
      </c>
    </row>
    <row r="53" spans="1:13" x14ac:dyDescent="0.35">
      <c r="A53" s="43">
        <v>48</v>
      </c>
      <c r="B53" s="44">
        <v>45912</v>
      </c>
      <c r="C53" s="44">
        <v>45913</v>
      </c>
      <c r="D53" s="45">
        <v>0.83333333333333337</v>
      </c>
      <c r="E53" s="45">
        <v>0.33333333333333331</v>
      </c>
      <c r="F53" s="46">
        <v>385000</v>
      </c>
      <c r="G53" s="46">
        <v>385000</v>
      </c>
      <c r="H53" s="47" t="s">
        <v>12</v>
      </c>
      <c r="I53" s="48">
        <v>987262352163</v>
      </c>
      <c r="J53" s="48" t="s">
        <v>105</v>
      </c>
      <c r="K53" s="49" t="s">
        <v>20</v>
      </c>
      <c r="L53" s="43" t="s">
        <v>27</v>
      </c>
      <c r="M53" s="50" t="s">
        <v>13</v>
      </c>
    </row>
    <row r="54" spans="1:13" x14ac:dyDescent="0.35">
      <c r="A54" s="43">
        <v>49</v>
      </c>
      <c r="B54" s="44">
        <v>45913</v>
      </c>
      <c r="C54" s="44">
        <v>45913</v>
      </c>
      <c r="D54" s="45">
        <v>0.33333333333333331</v>
      </c>
      <c r="E54" s="45">
        <v>0.83333333333333337</v>
      </c>
      <c r="F54" s="46">
        <v>303000</v>
      </c>
      <c r="G54" s="46">
        <v>303000</v>
      </c>
      <c r="H54" s="47" t="s">
        <v>12</v>
      </c>
      <c r="I54" s="48">
        <v>987262355360</v>
      </c>
      <c r="J54" s="48" t="s">
        <v>106</v>
      </c>
      <c r="K54" s="49" t="s">
        <v>24</v>
      </c>
      <c r="L54" s="43" t="s">
        <v>27</v>
      </c>
      <c r="M54" s="50" t="s">
        <v>39</v>
      </c>
    </row>
    <row r="55" spans="1:13" x14ac:dyDescent="0.35">
      <c r="A55" s="43">
        <v>50</v>
      </c>
      <c r="B55" s="44">
        <v>45913</v>
      </c>
      <c r="C55" s="44">
        <v>45913</v>
      </c>
      <c r="D55" s="45">
        <v>0.33333333333333331</v>
      </c>
      <c r="E55" s="45">
        <v>0.83333333333333337</v>
      </c>
      <c r="F55" s="46">
        <v>1203000</v>
      </c>
      <c r="G55" s="46">
        <v>1203000</v>
      </c>
      <c r="H55" s="47" t="s">
        <v>12</v>
      </c>
      <c r="I55" s="48">
        <v>987262355360</v>
      </c>
      <c r="J55" s="48" t="s">
        <v>106</v>
      </c>
      <c r="K55" s="49" t="s">
        <v>25</v>
      </c>
      <c r="L55" s="43" t="s">
        <v>27</v>
      </c>
      <c r="M55" s="50" t="s">
        <v>13</v>
      </c>
    </row>
    <row r="56" spans="1:13" x14ac:dyDescent="0.35">
      <c r="A56" s="43">
        <v>51</v>
      </c>
      <c r="B56" s="44">
        <v>45913</v>
      </c>
      <c r="C56" s="44">
        <v>45914</v>
      </c>
      <c r="D56" s="45">
        <v>0.83333333333333337</v>
      </c>
      <c r="E56" s="45">
        <v>0.33333333333333331</v>
      </c>
      <c r="F56" s="46">
        <v>211000</v>
      </c>
      <c r="G56" s="46">
        <v>211000</v>
      </c>
      <c r="H56" s="47" t="s">
        <v>12</v>
      </c>
      <c r="I56" s="48">
        <v>987262355360</v>
      </c>
      <c r="J56" s="48" t="s">
        <v>106</v>
      </c>
      <c r="K56" s="49" t="s">
        <v>16</v>
      </c>
      <c r="L56" s="43" t="s">
        <v>27</v>
      </c>
      <c r="M56" s="50" t="s">
        <v>22</v>
      </c>
    </row>
    <row r="57" spans="1:13" x14ac:dyDescent="0.35">
      <c r="A57" s="43">
        <v>52</v>
      </c>
      <c r="B57" s="44">
        <v>45913</v>
      </c>
      <c r="C57" s="44">
        <v>45914</v>
      </c>
      <c r="D57" s="45">
        <v>0.83333333333333337</v>
      </c>
      <c r="E57" s="45">
        <v>0.33333333333333331</v>
      </c>
      <c r="F57" s="46">
        <v>679000</v>
      </c>
      <c r="G57" s="46">
        <v>679000</v>
      </c>
      <c r="H57" s="47" t="s">
        <v>12</v>
      </c>
      <c r="I57" s="48">
        <v>987262355360</v>
      </c>
      <c r="J57" s="48" t="s">
        <v>106</v>
      </c>
      <c r="K57" s="49" t="s">
        <v>15</v>
      </c>
      <c r="L57" s="43" t="s">
        <v>27</v>
      </c>
      <c r="M57" s="50" t="s">
        <v>46</v>
      </c>
    </row>
    <row r="58" spans="1:13" x14ac:dyDescent="0.35">
      <c r="A58" s="43">
        <v>53</v>
      </c>
      <c r="B58" s="44">
        <v>45914</v>
      </c>
      <c r="C58" s="44">
        <v>45914</v>
      </c>
      <c r="D58" s="45">
        <v>0.33333333333333331</v>
      </c>
      <c r="E58" s="45">
        <v>0.83333333333333337</v>
      </c>
      <c r="F58" s="46">
        <v>759000</v>
      </c>
      <c r="G58" s="46">
        <v>759000</v>
      </c>
      <c r="H58" s="47" t="s">
        <v>12</v>
      </c>
      <c r="I58" s="48">
        <v>987262365180</v>
      </c>
      <c r="J58" s="48" t="s">
        <v>107</v>
      </c>
      <c r="K58" s="49" t="s">
        <v>24</v>
      </c>
      <c r="L58" s="43" t="s">
        <v>27</v>
      </c>
      <c r="M58" s="50" t="s">
        <v>22</v>
      </c>
    </row>
    <row r="59" spans="1:13" x14ac:dyDescent="0.35">
      <c r="A59" s="43">
        <v>54</v>
      </c>
      <c r="B59" s="44">
        <v>45914</v>
      </c>
      <c r="C59" s="44">
        <v>45914</v>
      </c>
      <c r="D59" s="45">
        <v>0.33333333333333331</v>
      </c>
      <c r="E59" s="45">
        <v>0.83333333333333337</v>
      </c>
      <c r="F59" s="46">
        <v>1461000</v>
      </c>
      <c r="G59" s="46">
        <v>1461000</v>
      </c>
      <c r="H59" s="47" t="s">
        <v>12</v>
      </c>
      <c r="I59" s="48">
        <v>987262365180</v>
      </c>
      <c r="J59" s="48" t="s">
        <v>107</v>
      </c>
      <c r="K59" s="49" t="s">
        <v>25</v>
      </c>
      <c r="L59" s="43" t="s">
        <v>27</v>
      </c>
      <c r="M59" s="50" t="s">
        <v>13</v>
      </c>
    </row>
    <row r="60" spans="1:13" x14ac:dyDescent="0.35">
      <c r="A60" s="43">
        <v>55</v>
      </c>
      <c r="B60" s="44">
        <v>45914</v>
      </c>
      <c r="C60" s="44">
        <v>45915</v>
      </c>
      <c r="D60" s="45">
        <v>0.83333333333333337</v>
      </c>
      <c r="E60" s="45">
        <v>0.33333333333333331</v>
      </c>
      <c r="F60" s="46">
        <v>187000</v>
      </c>
      <c r="G60" s="46">
        <v>187000</v>
      </c>
      <c r="H60" s="47" t="s">
        <v>12</v>
      </c>
      <c r="I60" s="48">
        <v>987262365180</v>
      </c>
      <c r="J60" s="48" t="s">
        <v>107</v>
      </c>
      <c r="K60" s="49" t="s">
        <v>16</v>
      </c>
      <c r="L60" s="43" t="s">
        <v>27</v>
      </c>
      <c r="M60" s="50" t="s">
        <v>95</v>
      </c>
    </row>
    <row r="61" spans="1:13" x14ac:dyDescent="0.35">
      <c r="A61" s="43">
        <v>56</v>
      </c>
      <c r="B61" s="44">
        <v>45914</v>
      </c>
      <c r="C61" s="44">
        <v>45915</v>
      </c>
      <c r="D61" s="45">
        <v>0.83333333333333337</v>
      </c>
      <c r="E61" s="45">
        <v>0.33333333333333331</v>
      </c>
      <c r="F61" s="46">
        <v>635000</v>
      </c>
      <c r="G61" s="46">
        <v>635000</v>
      </c>
      <c r="H61" s="47" t="s">
        <v>12</v>
      </c>
      <c r="I61" s="48">
        <v>987262365180</v>
      </c>
      <c r="J61" s="48" t="s">
        <v>107</v>
      </c>
      <c r="K61" s="49" t="s">
        <v>15</v>
      </c>
      <c r="L61" s="43" t="s">
        <v>27</v>
      </c>
      <c r="M61" s="50" t="s">
        <v>13</v>
      </c>
    </row>
    <row r="62" spans="1:13" x14ac:dyDescent="0.35">
      <c r="A62" s="43">
        <v>57</v>
      </c>
      <c r="B62" s="44">
        <v>45915</v>
      </c>
      <c r="C62" s="44">
        <v>45915</v>
      </c>
      <c r="D62" s="45">
        <v>0.33333333333333331</v>
      </c>
      <c r="E62" s="45">
        <v>0.83333333333333337</v>
      </c>
      <c r="F62" s="46">
        <v>394000</v>
      </c>
      <c r="G62" s="46">
        <v>394000</v>
      </c>
      <c r="H62" s="47" t="s">
        <v>12</v>
      </c>
      <c r="I62" s="48">
        <v>987262377983</v>
      </c>
      <c r="J62" s="48" t="s">
        <v>111</v>
      </c>
      <c r="K62" s="49" t="s">
        <v>19</v>
      </c>
      <c r="L62" s="43" t="s">
        <v>27</v>
      </c>
      <c r="M62" s="50" t="s">
        <v>22</v>
      </c>
    </row>
    <row r="63" spans="1:13" x14ac:dyDescent="0.35">
      <c r="A63" s="43">
        <v>58</v>
      </c>
      <c r="B63" s="44">
        <v>45915</v>
      </c>
      <c r="C63" s="44">
        <v>45915</v>
      </c>
      <c r="D63" s="45">
        <v>0.33333333333333331</v>
      </c>
      <c r="E63" s="45">
        <v>0.83333333333333337</v>
      </c>
      <c r="F63" s="46">
        <v>1262000</v>
      </c>
      <c r="G63" s="46">
        <v>1262000</v>
      </c>
      <c r="H63" s="47" t="s">
        <v>12</v>
      </c>
      <c r="I63" s="48">
        <v>987262377983</v>
      </c>
      <c r="J63" s="48" t="s">
        <v>111</v>
      </c>
      <c r="K63" s="49" t="s">
        <v>20</v>
      </c>
      <c r="L63" s="43" t="s">
        <v>27</v>
      </c>
      <c r="M63" s="50" t="s">
        <v>13</v>
      </c>
    </row>
    <row r="64" spans="1:13" x14ac:dyDescent="0.35">
      <c r="A64" s="43">
        <v>59</v>
      </c>
      <c r="B64" s="44">
        <v>45915</v>
      </c>
      <c r="C64" s="44">
        <v>45916</v>
      </c>
      <c r="D64" s="45">
        <v>0.83333333333333337</v>
      </c>
      <c r="E64" s="45">
        <v>0.33333333333333331</v>
      </c>
      <c r="F64" s="46">
        <v>487000</v>
      </c>
      <c r="G64" s="46">
        <v>487000</v>
      </c>
      <c r="H64" s="47" t="s">
        <v>12</v>
      </c>
      <c r="I64" s="48">
        <v>987262377983</v>
      </c>
      <c r="J64" s="48" t="s">
        <v>111</v>
      </c>
      <c r="K64" s="49" t="s">
        <v>24</v>
      </c>
      <c r="L64" s="43" t="s">
        <v>27</v>
      </c>
      <c r="M64" s="50" t="s">
        <v>22</v>
      </c>
    </row>
    <row r="65" spans="1:13" x14ac:dyDescent="0.35">
      <c r="A65" s="43">
        <v>60</v>
      </c>
      <c r="B65" s="44">
        <v>45915</v>
      </c>
      <c r="C65" s="44">
        <v>45916</v>
      </c>
      <c r="D65" s="45">
        <v>0.83333333333333337</v>
      </c>
      <c r="E65" s="45">
        <v>0.33333333333333331</v>
      </c>
      <c r="F65" s="46">
        <v>373000</v>
      </c>
      <c r="G65" s="46">
        <v>373000</v>
      </c>
      <c r="H65" s="47" t="s">
        <v>12</v>
      </c>
      <c r="I65" s="48">
        <v>987262377983</v>
      </c>
      <c r="J65" s="48" t="s">
        <v>111</v>
      </c>
      <c r="K65" s="49" t="s">
        <v>25</v>
      </c>
      <c r="L65" s="43" t="s">
        <v>27</v>
      </c>
      <c r="M65" s="50" t="s">
        <v>13</v>
      </c>
    </row>
    <row r="66" spans="1:13" x14ac:dyDescent="0.35">
      <c r="A66" s="43">
        <v>61</v>
      </c>
      <c r="B66" s="44">
        <v>45916</v>
      </c>
      <c r="C66" s="44">
        <v>45916</v>
      </c>
      <c r="D66" s="45">
        <v>0.33333333333333331</v>
      </c>
      <c r="E66" s="45">
        <v>0.83333333333333337</v>
      </c>
      <c r="F66" s="46">
        <v>277000</v>
      </c>
      <c r="G66" s="46">
        <v>277000</v>
      </c>
      <c r="H66" s="47" t="s">
        <v>12</v>
      </c>
      <c r="I66" s="48">
        <v>987262388141</v>
      </c>
      <c r="J66" s="48" t="s">
        <v>108</v>
      </c>
      <c r="K66" s="49" t="s">
        <v>19</v>
      </c>
      <c r="L66" s="43" t="s">
        <v>27</v>
      </c>
      <c r="M66" s="50" t="s">
        <v>22</v>
      </c>
    </row>
    <row r="67" spans="1:13" x14ac:dyDescent="0.35">
      <c r="A67" s="43">
        <v>62</v>
      </c>
      <c r="B67" s="44">
        <v>45916</v>
      </c>
      <c r="C67" s="44">
        <v>45916</v>
      </c>
      <c r="D67" s="45">
        <v>0.33333333333333331</v>
      </c>
      <c r="E67" s="45">
        <v>0.83333333333333337</v>
      </c>
      <c r="F67" s="46">
        <v>981000</v>
      </c>
      <c r="G67" s="46">
        <v>981000</v>
      </c>
      <c r="H67" s="47" t="s">
        <v>12</v>
      </c>
      <c r="I67" s="48">
        <v>987262388141</v>
      </c>
      <c r="J67" s="48" t="s">
        <v>108</v>
      </c>
      <c r="K67" s="49" t="s">
        <v>20</v>
      </c>
      <c r="L67" s="43" t="s">
        <v>27</v>
      </c>
      <c r="M67" s="50" t="s">
        <v>13</v>
      </c>
    </row>
    <row r="68" spans="1:13" x14ac:dyDescent="0.35">
      <c r="A68" s="43">
        <v>63</v>
      </c>
      <c r="B68" s="44">
        <v>45916</v>
      </c>
      <c r="C68" s="44">
        <v>45917</v>
      </c>
      <c r="D68" s="45">
        <v>0.83333333333333337</v>
      </c>
      <c r="E68" s="45">
        <v>0.33333333333333331</v>
      </c>
      <c r="F68" s="46">
        <v>145000</v>
      </c>
      <c r="G68" s="46">
        <v>145000</v>
      </c>
      <c r="H68" s="47" t="s">
        <v>12</v>
      </c>
      <c r="I68" s="48">
        <v>987262388141</v>
      </c>
      <c r="J68" s="48" t="s">
        <v>108</v>
      </c>
      <c r="K68" s="49" t="s">
        <v>24</v>
      </c>
      <c r="L68" s="43" t="s">
        <v>27</v>
      </c>
      <c r="M68" s="50" t="s">
        <v>22</v>
      </c>
    </row>
    <row r="69" spans="1:13" x14ac:dyDescent="0.35">
      <c r="A69" s="43">
        <v>64</v>
      </c>
      <c r="B69" s="44">
        <v>45916</v>
      </c>
      <c r="C69" s="44">
        <v>45917</v>
      </c>
      <c r="D69" s="45">
        <v>0.83333333333333337</v>
      </c>
      <c r="E69" s="45">
        <v>0.33333333333333331</v>
      </c>
      <c r="F69" s="46">
        <v>321000</v>
      </c>
      <c r="G69" s="46">
        <v>321000</v>
      </c>
      <c r="H69" s="47" t="s">
        <v>12</v>
      </c>
      <c r="I69" s="48">
        <v>987262388141</v>
      </c>
      <c r="J69" s="48" t="s">
        <v>108</v>
      </c>
      <c r="K69" s="49" t="s">
        <v>25</v>
      </c>
      <c r="L69" s="43" t="s">
        <v>27</v>
      </c>
      <c r="M69" s="50" t="s">
        <v>13</v>
      </c>
    </row>
    <row r="70" spans="1:13" x14ac:dyDescent="0.35">
      <c r="A70" s="43">
        <v>65</v>
      </c>
      <c r="B70" s="44">
        <v>45917</v>
      </c>
      <c r="C70" s="44">
        <v>45917</v>
      </c>
      <c r="D70" s="45">
        <v>0.33333333333333331</v>
      </c>
      <c r="E70" s="45">
        <v>0.83333333333333337</v>
      </c>
      <c r="F70" s="46">
        <v>365000</v>
      </c>
      <c r="G70" s="46">
        <v>365000</v>
      </c>
      <c r="H70" s="47" t="s">
        <v>12</v>
      </c>
      <c r="I70" s="48">
        <v>987262427372</v>
      </c>
      <c r="J70" s="48" t="s">
        <v>112</v>
      </c>
      <c r="K70" s="49" t="s">
        <v>16</v>
      </c>
      <c r="L70" s="43" t="s">
        <v>27</v>
      </c>
      <c r="M70" s="50" t="s">
        <v>22</v>
      </c>
    </row>
    <row r="71" spans="1:13" x14ac:dyDescent="0.35">
      <c r="A71" s="43">
        <v>66</v>
      </c>
      <c r="B71" s="44">
        <v>45917</v>
      </c>
      <c r="C71" s="44">
        <v>45917</v>
      </c>
      <c r="D71" s="45">
        <v>0.33333333333333331</v>
      </c>
      <c r="E71" s="45">
        <v>0.83333333333333337</v>
      </c>
      <c r="F71" s="46">
        <v>957000</v>
      </c>
      <c r="G71" s="46">
        <v>957000</v>
      </c>
      <c r="H71" s="47" t="s">
        <v>12</v>
      </c>
      <c r="I71" s="48">
        <v>987262427372</v>
      </c>
      <c r="J71" s="48" t="s">
        <v>112</v>
      </c>
      <c r="K71" s="49" t="s">
        <v>15</v>
      </c>
      <c r="L71" s="43" t="s">
        <v>27</v>
      </c>
      <c r="M71" s="50" t="s">
        <v>13</v>
      </c>
    </row>
    <row r="72" spans="1:13" x14ac:dyDescent="0.35">
      <c r="A72" s="43">
        <v>67</v>
      </c>
      <c r="B72" s="44">
        <v>45917</v>
      </c>
      <c r="C72" s="44">
        <v>45918</v>
      </c>
      <c r="D72" s="45">
        <v>0.83333333333333337</v>
      </c>
      <c r="E72" s="45">
        <v>0.33333333333333331</v>
      </c>
      <c r="F72" s="46">
        <v>180000</v>
      </c>
      <c r="G72" s="46">
        <v>180000</v>
      </c>
      <c r="H72" s="47" t="s">
        <v>12</v>
      </c>
      <c r="I72" s="48">
        <v>987262427372</v>
      </c>
      <c r="J72" s="48" t="s">
        <v>112</v>
      </c>
      <c r="K72" s="49" t="s">
        <v>19</v>
      </c>
      <c r="L72" s="43" t="s">
        <v>27</v>
      </c>
      <c r="M72" s="50" t="s">
        <v>22</v>
      </c>
    </row>
    <row r="73" spans="1:13" x14ac:dyDescent="0.35">
      <c r="A73" s="43">
        <v>68</v>
      </c>
      <c r="B73" s="44">
        <v>45917</v>
      </c>
      <c r="C73" s="44">
        <v>45918</v>
      </c>
      <c r="D73" s="45">
        <v>0.83333333333333337</v>
      </c>
      <c r="E73" s="45">
        <v>0.33333333333333331</v>
      </c>
      <c r="F73" s="46">
        <v>549000</v>
      </c>
      <c r="G73" s="46">
        <v>549000</v>
      </c>
      <c r="H73" s="47" t="s">
        <v>12</v>
      </c>
      <c r="I73" s="48">
        <v>987262427372</v>
      </c>
      <c r="J73" s="48" t="s">
        <v>112</v>
      </c>
      <c r="K73" s="49" t="s">
        <v>25</v>
      </c>
      <c r="L73" s="43" t="s">
        <v>27</v>
      </c>
      <c r="M73" s="50" t="s">
        <v>13</v>
      </c>
    </row>
    <row r="74" spans="1:13" x14ac:dyDescent="0.35">
      <c r="A74" s="43">
        <v>69</v>
      </c>
      <c r="B74" s="44">
        <v>45918</v>
      </c>
      <c r="C74" s="44">
        <v>45918</v>
      </c>
      <c r="D74" s="45">
        <v>0.33333333333333331</v>
      </c>
      <c r="E74" s="45">
        <v>0.83333333333333337</v>
      </c>
      <c r="F74" s="46">
        <v>432000</v>
      </c>
      <c r="G74" s="46">
        <v>432000</v>
      </c>
      <c r="H74" s="47" t="s">
        <v>12</v>
      </c>
      <c r="I74" s="48">
        <v>987262427381</v>
      </c>
      <c r="J74" s="48" t="s">
        <v>113</v>
      </c>
      <c r="K74" s="49" t="s">
        <v>16</v>
      </c>
      <c r="L74" s="43" t="s">
        <v>27</v>
      </c>
      <c r="M74" s="50" t="s">
        <v>22</v>
      </c>
    </row>
    <row r="75" spans="1:13" x14ac:dyDescent="0.35">
      <c r="A75" s="43">
        <v>70</v>
      </c>
      <c r="B75" s="44">
        <v>45918</v>
      </c>
      <c r="C75" s="44">
        <v>45918</v>
      </c>
      <c r="D75" s="45">
        <v>0.33333333333333331</v>
      </c>
      <c r="E75" s="45">
        <v>0.83333333333333337</v>
      </c>
      <c r="F75" s="46">
        <v>907000</v>
      </c>
      <c r="G75" s="46">
        <v>907000</v>
      </c>
      <c r="H75" s="47" t="s">
        <v>12</v>
      </c>
      <c r="I75" s="48">
        <v>987262427381</v>
      </c>
      <c r="J75" s="48" t="s">
        <v>113</v>
      </c>
      <c r="K75" s="49" t="s">
        <v>15</v>
      </c>
      <c r="L75" s="43" t="s">
        <v>27</v>
      </c>
      <c r="M75" s="50" t="s">
        <v>13</v>
      </c>
    </row>
    <row r="76" spans="1:13" x14ac:dyDescent="0.35">
      <c r="A76" s="43">
        <v>71</v>
      </c>
      <c r="B76" s="44">
        <v>45918</v>
      </c>
      <c r="C76" s="44">
        <v>45919</v>
      </c>
      <c r="D76" s="45">
        <v>0.83333333333333337</v>
      </c>
      <c r="E76" s="45">
        <v>0.33333333333333331</v>
      </c>
      <c r="F76" s="46">
        <v>190000</v>
      </c>
      <c r="G76" s="46">
        <v>190000</v>
      </c>
      <c r="H76" s="47" t="s">
        <v>12</v>
      </c>
      <c r="I76" s="48">
        <v>987262427381</v>
      </c>
      <c r="J76" s="48" t="s">
        <v>113</v>
      </c>
      <c r="K76" s="49" t="s">
        <v>19</v>
      </c>
      <c r="L76" s="43" t="s">
        <v>27</v>
      </c>
      <c r="M76" s="50" t="s">
        <v>22</v>
      </c>
    </row>
    <row r="77" spans="1:13" x14ac:dyDescent="0.35">
      <c r="A77" s="43">
        <v>72</v>
      </c>
      <c r="B77" s="44">
        <v>45918</v>
      </c>
      <c r="C77" s="44">
        <v>45919</v>
      </c>
      <c r="D77" s="45">
        <v>0.83333333333333337</v>
      </c>
      <c r="E77" s="45">
        <v>0.33333333333333331</v>
      </c>
      <c r="F77" s="46">
        <v>450000</v>
      </c>
      <c r="G77" s="46">
        <v>450000</v>
      </c>
      <c r="H77" s="47" t="s">
        <v>12</v>
      </c>
      <c r="I77" s="48">
        <v>987262427381</v>
      </c>
      <c r="J77" s="48" t="s">
        <v>113</v>
      </c>
      <c r="K77" s="49" t="s">
        <v>20</v>
      </c>
      <c r="L77" s="43" t="s">
        <v>27</v>
      </c>
      <c r="M77" s="50" t="s">
        <v>13</v>
      </c>
    </row>
    <row r="78" spans="1:13" x14ac:dyDescent="0.35">
      <c r="A78" s="43">
        <v>73</v>
      </c>
      <c r="B78" s="44">
        <v>45919</v>
      </c>
      <c r="C78" s="44">
        <v>45919</v>
      </c>
      <c r="D78" s="45">
        <v>0.33333333333333331</v>
      </c>
      <c r="E78" s="45">
        <v>0.83333333333333337</v>
      </c>
      <c r="F78" s="46">
        <v>508000</v>
      </c>
      <c r="G78" s="46">
        <v>508000</v>
      </c>
      <c r="H78" s="47" t="s">
        <v>12</v>
      </c>
      <c r="I78" s="48">
        <v>987262427389</v>
      </c>
      <c r="J78" s="48" t="s">
        <v>114</v>
      </c>
      <c r="K78" s="49" t="s">
        <v>24</v>
      </c>
      <c r="L78" s="43" t="s">
        <v>27</v>
      </c>
      <c r="M78" s="50" t="s">
        <v>22</v>
      </c>
    </row>
    <row r="79" spans="1:13" x14ac:dyDescent="0.35">
      <c r="A79" s="43">
        <v>74</v>
      </c>
      <c r="B79" s="44">
        <v>45919</v>
      </c>
      <c r="C79" s="44">
        <v>45919</v>
      </c>
      <c r="D79" s="45">
        <v>0.33333333333333331</v>
      </c>
      <c r="E79" s="45">
        <v>0.83333333333333337</v>
      </c>
      <c r="F79" s="46">
        <v>1025000</v>
      </c>
      <c r="G79" s="46">
        <v>1025000</v>
      </c>
      <c r="H79" s="47" t="s">
        <v>12</v>
      </c>
      <c r="I79" s="48">
        <v>987262427389</v>
      </c>
      <c r="J79" s="48" t="s">
        <v>114</v>
      </c>
      <c r="K79" s="49" t="s">
        <v>15</v>
      </c>
      <c r="L79" s="43" t="s">
        <v>27</v>
      </c>
      <c r="M79" s="50" t="s">
        <v>13</v>
      </c>
    </row>
    <row r="80" spans="1:13" x14ac:dyDescent="0.35">
      <c r="A80" s="43">
        <v>75</v>
      </c>
      <c r="B80" s="44">
        <v>45919</v>
      </c>
      <c r="C80" s="44">
        <v>45920</v>
      </c>
      <c r="D80" s="45">
        <v>0.83333333333333337</v>
      </c>
      <c r="E80" s="45">
        <v>0.33333333333333331</v>
      </c>
      <c r="F80" s="46">
        <v>187000</v>
      </c>
      <c r="G80" s="46">
        <v>187000</v>
      </c>
      <c r="H80" s="47" t="s">
        <v>12</v>
      </c>
      <c r="I80" s="48">
        <v>987262427389</v>
      </c>
      <c r="J80" s="48" t="s">
        <v>114</v>
      </c>
      <c r="K80" s="49" t="s">
        <v>16</v>
      </c>
      <c r="L80" s="43" t="s">
        <v>27</v>
      </c>
      <c r="M80" s="50" t="s">
        <v>22</v>
      </c>
    </row>
    <row r="81" spans="1:13" x14ac:dyDescent="0.35">
      <c r="A81" s="43">
        <v>76</v>
      </c>
      <c r="B81" s="44">
        <v>45919</v>
      </c>
      <c r="C81" s="44">
        <v>45920</v>
      </c>
      <c r="D81" s="45">
        <v>0.83333333333333337</v>
      </c>
      <c r="E81" s="45">
        <v>0.33333333333333331</v>
      </c>
      <c r="F81" s="46">
        <v>378000</v>
      </c>
      <c r="G81" s="46">
        <v>378000</v>
      </c>
      <c r="H81" s="47" t="s">
        <v>12</v>
      </c>
      <c r="I81" s="48">
        <v>987262427389</v>
      </c>
      <c r="J81" s="48" t="s">
        <v>114</v>
      </c>
      <c r="K81" s="49" t="s">
        <v>20</v>
      </c>
      <c r="L81" s="43" t="s">
        <v>27</v>
      </c>
      <c r="M81" s="50" t="s">
        <v>13</v>
      </c>
    </row>
    <row r="82" spans="1:13" x14ac:dyDescent="0.35">
      <c r="A82" s="43">
        <v>77</v>
      </c>
      <c r="B82" s="44">
        <v>45920</v>
      </c>
      <c r="C82" s="44">
        <v>45920</v>
      </c>
      <c r="D82" s="45">
        <v>0.33333333333333331</v>
      </c>
      <c r="E82" s="45">
        <v>0.83333333333333337</v>
      </c>
      <c r="F82" s="46">
        <v>575000</v>
      </c>
      <c r="G82" s="46">
        <v>575000</v>
      </c>
      <c r="H82" s="47" t="s">
        <v>12</v>
      </c>
      <c r="I82" s="48">
        <v>987262427404</v>
      </c>
      <c r="J82" s="48" t="s">
        <v>115</v>
      </c>
      <c r="K82" s="49" t="s">
        <v>24</v>
      </c>
      <c r="L82" s="43" t="s">
        <v>27</v>
      </c>
      <c r="M82" s="50" t="s">
        <v>109</v>
      </c>
    </row>
    <row r="83" spans="1:13" x14ac:dyDescent="0.35">
      <c r="A83" s="43">
        <v>78</v>
      </c>
      <c r="B83" s="44">
        <v>45920</v>
      </c>
      <c r="C83" s="44">
        <v>45920</v>
      </c>
      <c r="D83" s="45">
        <v>0.33333333333333331</v>
      </c>
      <c r="E83" s="45">
        <v>0.83333333333333337</v>
      </c>
      <c r="F83" s="46">
        <v>1552000</v>
      </c>
      <c r="G83" s="46">
        <v>1552000</v>
      </c>
      <c r="H83" s="47" t="s">
        <v>12</v>
      </c>
      <c r="I83" s="48">
        <v>987262427404</v>
      </c>
      <c r="J83" s="48" t="s">
        <v>115</v>
      </c>
      <c r="K83" s="49" t="s">
        <v>15</v>
      </c>
      <c r="L83" s="43" t="s">
        <v>27</v>
      </c>
      <c r="M83" s="50" t="s">
        <v>13</v>
      </c>
    </row>
    <row r="84" spans="1:13" x14ac:dyDescent="0.35">
      <c r="A84" s="43">
        <v>79</v>
      </c>
      <c r="B84" s="44">
        <v>45920</v>
      </c>
      <c r="C84" s="44">
        <v>45921</v>
      </c>
      <c r="D84" s="45">
        <v>0.83333333333333337</v>
      </c>
      <c r="E84" s="45">
        <v>0.33333333333333331</v>
      </c>
      <c r="F84" s="46">
        <v>273000</v>
      </c>
      <c r="G84" s="46">
        <v>273000</v>
      </c>
      <c r="H84" s="47" t="s">
        <v>12</v>
      </c>
      <c r="I84" s="48">
        <v>987262427404</v>
      </c>
      <c r="J84" s="48" t="s">
        <v>115</v>
      </c>
      <c r="K84" s="49" t="s">
        <v>16</v>
      </c>
      <c r="L84" s="43" t="s">
        <v>27</v>
      </c>
      <c r="M84" s="50" t="s">
        <v>22</v>
      </c>
    </row>
    <row r="85" spans="1:13" x14ac:dyDescent="0.35">
      <c r="A85" s="43">
        <v>80</v>
      </c>
      <c r="B85" s="44">
        <v>45920</v>
      </c>
      <c r="C85" s="44">
        <v>45921</v>
      </c>
      <c r="D85" s="45">
        <v>0.83333333333333337</v>
      </c>
      <c r="E85" s="45">
        <v>0.33333333333333331</v>
      </c>
      <c r="F85" s="46">
        <v>520000</v>
      </c>
      <c r="G85" s="46">
        <v>520000</v>
      </c>
      <c r="H85" s="47" t="s">
        <v>12</v>
      </c>
      <c r="I85" s="48">
        <v>987262427404</v>
      </c>
      <c r="J85" s="48" t="s">
        <v>115</v>
      </c>
      <c r="K85" s="49" t="s">
        <v>20</v>
      </c>
      <c r="L85" s="43" t="s">
        <v>27</v>
      </c>
      <c r="M85" s="50" t="s">
        <v>13</v>
      </c>
    </row>
    <row r="86" spans="1:13" x14ac:dyDescent="0.35">
      <c r="A86" s="43">
        <v>81</v>
      </c>
      <c r="B86" s="44">
        <v>45921</v>
      </c>
      <c r="C86" s="44">
        <v>45921</v>
      </c>
      <c r="D86" s="45">
        <v>0.33333333333333331</v>
      </c>
      <c r="E86" s="45">
        <v>0.83333333333333337</v>
      </c>
      <c r="F86" s="46">
        <v>550000</v>
      </c>
      <c r="G86" s="46">
        <v>550000</v>
      </c>
      <c r="H86" s="47" t="s">
        <v>12</v>
      </c>
      <c r="I86" s="48">
        <v>987262427414</v>
      </c>
      <c r="J86" s="48" t="s">
        <v>116</v>
      </c>
      <c r="K86" s="49" t="s">
        <v>19</v>
      </c>
      <c r="L86" s="43" t="s">
        <v>27</v>
      </c>
      <c r="M86" s="50" t="s">
        <v>22</v>
      </c>
    </row>
    <row r="87" spans="1:13" x14ac:dyDescent="0.35">
      <c r="A87" s="43">
        <v>82</v>
      </c>
      <c r="B87" s="44">
        <v>45921</v>
      </c>
      <c r="C87" s="44">
        <v>45921</v>
      </c>
      <c r="D87" s="45">
        <v>0.33333333333333331</v>
      </c>
      <c r="E87" s="45">
        <v>0.83333333333333337</v>
      </c>
      <c r="F87" s="46">
        <v>1447000</v>
      </c>
      <c r="G87" s="46">
        <v>1447000</v>
      </c>
      <c r="H87" s="47" t="s">
        <v>12</v>
      </c>
      <c r="I87" s="48">
        <v>987262427414</v>
      </c>
      <c r="J87" s="48" t="s">
        <v>116</v>
      </c>
      <c r="K87" s="49" t="s">
        <v>15</v>
      </c>
      <c r="L87" s="43" t="s">
        <v>27</v>
      </c>
      <c r="M87" s="50" t="s">
        <v>13</v>
      </c>
    </row>
    <row r="88" spans="1:13" x14ac:dyDescent="0.35">
      <c r="A88" s="43">
        <v>83</v>
      </c>
      <c r="B88" s="44">
        <v>45921</v>
      </c>
      <c r="C88" s="44">
        <v>45922</v>
      </c>
      <c r="D88" s="45">
        <v>0.83333333333333337</v>
      </c>
      <c r="E88" s="45">
        <v>0.33333333333333331</v>
      </c>
      <c r="F88" s="46">
        <v>275000</v>
      </c>
      <c r="G88" s="46">
        <v>275000</v>
      </c>
      <c r="H88" s="47" t="s">
        <v>12</v>
      </c>
      <c r="I88" s="48">
        <v>987262427414</v>
      </c>
      <c r="J88" s="48" t="s">
        <v>116</v>
      </c>
      <c r="K88" s="49" t="s">
        <v>24</v>
      </c>
      <c r="L88" s="43" t="s">
        <v>27</v>
      </c>
      <c r="M88" s="50" t="s">
        <v>22</v>
      </c>
    </row>
    <row r="89" spans="1:13" x14ac:dyDescent="0.35">
      <c r="A89" s="43">
        <v>84</v>
      </c>
      <c r="B89" s="44">
        <v>45921</v>
      </c>
      <c r="C89" s="44">
        <v>45922</v>
      </c>
      <c r="D89" s="45">
        <v>0.83333333333333337</v>
      </c>
      <c r="E89" s="45">
        <v>0.33333333333333331</v>
      </c>
      <c r="F89" s="46">
        <v>438000</v>
      </c>
      <c r="G89" s="46">
        <v>438000</v>
      </c>
      <c r="H89" s="47" t="s">
        <v>12</v>
      </c>
      <c r="I89" s="48">
        <v>987262427414</v>
      </c>
      <c r="J89" s="48" t="s">
        <v>116</v>
      </c>
      <c r="K89" s="49" t="s">
        <v>20</v>
      </c>
      <c r="L89" s="43" t="s">
        <v>27</v>
      </c>
      <c r="M89" s="50" t="s">
        <v>110</v>
      </c>
    </row>
    <row r="90" spans="1:13" x14ac:dyDescent="0.35">
      <c r="A90" s="43">
        <v>85</v>
      </c>
      <c r="B90" s="44">
        <v>45922</v>
      </c>
      <c r="C90" s="44">
        <v>45922</v>
      </c>
      <c r="D90" s="45">
        <v>0.33333333333333331</v>
      </c>
      <c r="E90" s="45">
        <v>0.83333333333333337</v>
      </c>
      <c r="F90" s="46">
        <v>486000</v>
      </c>
      <c r="G90" s="46">
        <v>486000</v>
      </c>
      <c r="H90" s="47" t="s">
        <v>12</v>
      </c>
      <c r="I90" s="48">
        <v>987262427422</v>
      </c>
      <c r="J90" s="48" t="s">
        <v>117</v>
      </c>
      <c r="K90" s="49" t="s">
        <v>19</v>
      </c>
      <c r="L90" s="43" t="s">
        <v>27</v>
      </c>
      <c r="M90" s="50" t="s">
        <v>22</v>
      </c>
    </row>
    <row r="91" spans="1:13" x14ac:dyDescent="0.35">
      <c r="A91" s="43">
        <v>86</v>
      </c>
      <c r="B91" s="44">
        <v>45922</v>
      </c>
      <c r="C91" s="44">
        <v>45922</v>
      </c>
      <c r="D91" s="45">
        <v>0.33333333333333331</v>
      </c>
      <c r="E91" s="45">
        <v>0.83333333333333337</v>
      </c>
      <c r="F91" s="46">
        <v>1077000</v>
      </c>
      <c r="G91" s="46">
        <v>1077000</v>
      </c>
      <c r="H91" s="47" t="s">
        <v>12</v>
      </c>
      <c r="I91" s="48">
        <v>987262427422</v>
      </c>
      <c r="J91" s="48" t="s">
        <v>117</v>
      </c>
      <c r="K91" s="49" t="s">
        <v>25</v>
      </c>
      <c r="L91" s="43" t="s">
        <v>27</v>
      </c>
      <c r="M91" s="50" t="s">
        <v>13</v>
      </c>
    </row>
    <row r="92" spans="1:13" x14ac:dyDescent="0.35">
      <c r="A92" s="43">
        <v>87</v>
      </c>
      <c r="B92" s="44">
        <v>45922</v>
      </c>
      <c r="C92" s="44">
        <v>45923</v>
      </c>
      <c r="D92" s="45">
        <v>0.83333333333333337</v>
      </c>
      <c r="E92" s="45">
        <v>0.33333333333333331</v>
      </c>
      <c r="F92" s="46">
        <v>170000</v>
      </c>
      <c r="G92" s="46">
        <v>170000</v>
      </c>
      <c r="H92" s="47" t="s">
        <v>12</v>
      </c>
      <c r="I92" s="48">
        <v>987262427422</v>
      </c>
      <c r="J92" s="48" t="s">
        <v>117</v>
      </c>
      <c r="K92" s="49" t="s">
        <v>24</v>
      </c>
      <c r="L92" s="43" t="s">
        <v>27</v>
      </c>
      <c r="M92" s="50" t="s">
        <v>22</v>
      </c>
    </row>
    <row r="93" spans="1:13" x14ac:dyDescent="0.35">
      <c r="A93" s="43">
        <v>88</v>
      </c>
      <c r="B93" s="44">
        <v>45922</v>
      </c>
      <c r="C93" s="44">
        <v>45923</v>
      </c>
      <c r="D93" s="45">
        <v>0.83333333333333337</v>
      </c>
      <c r="E93" s="45">
        <v>0.33333333333333331</v>
      </c>
      <c r="F93" s="46">
        <v>343000</v>
      </c>
      <c r="G93" s="46">
        <v>343000</v>
      </c>
      <c r="H93" s="47" t="s">
        <v>12</v>
      </c>
      <c r="I93" s="48">
        <v>987262427422</v>
      </c>
      <c r="J93" s="48" t="s">
        <v>117</v>
      </c>
      <c r="K93" s="49" t="s">
        <v>25</v>
      </c>
      <c r="L93" s="43" t="s">
        <v>27</v>
      </c>
      <c r="M93" s="50" t="s">
        <v>13</v>
      </c>
    </row>
    <row r="94" spans="1:13" x14ac:dyDescent="0.35">
      <c r="A94" s="43">
        <v>89</v>
      </c>
      <c r="B94" s="44">
        <v>45923</v>
      </c>
      <c r="C94" s="44">
        <v>45923</v>
      </c>
      <c r="D94" s="45">
        <v>0.33333333333333331</v>
      </c>
      <c r="E94" s="45">
        <v>0.83333333333333337</v>
      </c>
      <c r="F94" s="46">
        <v>487000</v>
      </c>
      <c r="G94" s="46">
        <v>487000</v>
      </c>
      <c r="H94" s="47" t="s">
        <v>12</v>
      </c>
      <c r="I94" s="48">
        <v>987262437917</v>
      </c>
      <c r="J94" s="48" t="s">
        <v>118</v>
      </c>
      <c r="K94" s="49" t="s">
        <v>16</v>
      </c>
      <c r="L94" s="43" t="s">
        <v>27</v>
      </c>
      <c r="M94" s="50" t="s">
        <v>22</v>
      </c>
    </row>
    <row r="95" spans="1:13" x14ac:dyDescent="0.35">
      <c r="A95" s="43">
        <v>90</v>
      </c>
      <c r="B95" s="44">
        <v>45923</v>
      </c>
      <c r="C95" s="44">
        <v>45923</v>
      </c>
      <c r="D95" s="45">
        <v>0.33333333333333331</v>
      </c>
      <c r="E95" s="45">
        <v>0.83333333333333337</v>
      </c>
      <c r="F95" s="46">
        <v>811000</v>
      </c>
      <c r="G95" s="46">
        <v>811000</v>
      </c>
      <c r="H95" s="47" t="s">
        <v>12</v>
      </c>
      <c r="I95" s="48">
        <v>987262437917</v>
      </c>
      <c r="J95" s="48" t="s">
        <v>118</v>
      </c>
      <c r="K95" s="49" t="s">
        <v>25</v>
      </c>
      <c r="L95" s="43" t="s">
        <v>27</v>
      </c>
      <c r="M95" s="50" t="s">
        <v>13</v>
      </c>
    </row>
    <row r="96" spans="1:13" x14ac:dyDescent="0.35">
      <c r="A96" s="43">
        <v>91</v>
      </c>
      <c r="B96" s="44">
        <v>45923</v>
      </c>
      <c r="C96" s="44">
        <v>45924</v>
      </c>
      <c r="D96" s="45">
        <v>0.83333333333333337</v>
      </c>
      <c r="E96" s="45">
        <v>0.33333333333333331</v>
      </c>
      <c r="F96" s="46">
        <v>217000</v>
      </c>
      <c r="G96" s="46">
        <v>217000</v>
      </c>
      <c r="H96" s="47" t="s">
        <v>12</v>
      </c>
      <c r="I96" s="48">
        <v>987262437917</v>
      </c>
      <c r="J96" s="48" t="s">
        <v>118</v>
      </c>
      <c r="K96" s="49" t="s">
        <v>20</v>
      </c>
      <c r="L96" s="43" t="s">
        <v>27</v>
      </c>
      <c r="M96" s="50" t="s">
        <v>22</v>
      </c>
    </row>
    <row r="97" spans="1:13" x14ac:dyDescent="0.35">
      <c r="A97" s="43">
        <v>92</v>
      </c>
      <c r="B97" s="44">
        <v>45923</v>
      </c>
      <c r="C97" s="44">
        <v>45924</v>
      </c>
      <c r="D97" s="45">
        <v>0.83333333333333337</v>
      </c>
      <c r="E97" s="45">
        <v>0.33333333333333331</v>
      </c>
      <c r="F97" s="46">
        <v>463000</v>
      </c>
      <c r="G97" s="46">
        <v>463000</v>
      </c>
      <c r="H97" s="47" t="s">
        <v>12</v>
      </c>
      <c r="I97" s="48">
        <v>987262437917</v>
      </c>
      <c r="J97" s="48" t="s">
        <v>118</v>
      </c>
      <c r="K97" s="49" t="s">
        <v>19</v>
      </c>
      <c r="L97" s="43" t="s">
        <v>27</v>
      </c>
      <c r="M97" s="50" t="s">
        <v>13</v>
      </c>
    </row>
    <row r="98" spans="1:13" x14ac:dyDescent="0.35">
      <c r="A98" s="43">
        <v>93</v>
      </c>
      <c r="B98" s="44">
        <v>45924</v>
      </c>
      <c r="C98" s="44">
        <v>45924</v>
      </c>
      <c r="D98" s="45">
        <v>0.33333333333333331</v>
      </c>
      <c r="E98" s="45">
        <v>0.83333333333333337</v>
      </c>
      <c r="F98" s="46">
        <v>299000</v>
      </c>
      <c r="G98" s="46">
        <v>299000</v>
      </c>
      <c r="H98" s="47" t="s">
        <v>12</v>
      </c>
      <c r="I98" s="48">
        <v>987262449667</v>
      </c>
      <c r="J98" s="48" t="s">
        <v>119</v>
      </c>
      <c r="K98" s="49" t="s">
        <v>16</v>
      </c>
      <c r="L98" s="43" t="s">
        <v>27</v>
      </c>
      <c r="M98" s="50" t="s">
        <v>22</v>
      </c>
    </row>
    <row r="99" spans="1:13" x14ac:dyDescent="0.35">
      <c r="A99" s="43">
        <v>94</v>
      </c>
      <c r="B99" s="44">
        <v>45924</v>
      </c>
      <c r="C99" s="44">
        <v>45924</v>
      </c>
      <c r="D99" s="45">
        <v>0.33333333333333331</v>
      </c>
      <c r="E99" s="45">
        <v>0.83333333333333337</v>
      </c>
      <c r="F99" s="46">
        <v>935000</v>
      </c>
      <c r="G99" s="46">
        <v>935000</v>
      </c>
      <c r="H99" s="47" t="s">
        <v>12</v>
      </c>
      <c r="I99" s="48">
        <v>987262449667</v>
      </c>
      <c r="J99" s="48" t="s">
        <v>119</v>
      </c>
      <c r="K99" s="49" t="s">
        <v>15</v>
      </c>
      <c r="L99" s="43" t="s">
        <v>27</v>
      </c>
      <c r="M99" s="50" t="s">
        <v>13</v>
      </c>
    </row>
    <row r="100" spans="1:13" x14ac:dyDescent="0.35">
      <c r="A100" s="43">
        <v>95</v>
      </c>
      <c r="B100" s="44">
        <v>45924</v>
      </c>
      <c r="C100" s="44">
        <v>45925</v>
      </c>
      <c r="D100" s="45">
        <v>0.83333333333333337</v>
      </c>
      <c r="E100" s="45">
        <v>0.33333333333333331</v>
      </c>
      <c r="F100" s="46">
        <v>268000</v>
      </c>
      <c r="G100" s="46">
        <v>268000</v>
      </c>
      <c r="H100" s="47" t="s">
        <v>12</v>
      </c>
      <c r="I100" s="48">
        <v>987262449667</v>
      </c>
      <c r="J100" s="48" t="s">
        <v>119</v>
      </c>
      <c r="K100" s="49" t="s">
        <v>19</v>
      </c>
      <c r="L100" s="43" t="s">
        <v>27</v>
      </c>
      <c r="M100" s="50" t="s">
        <v>22</v>
      </c>
    </row>
    <row r="101" spans="1:13" x14ac:dyDescent="0.35">
      <c r="A101" s="43">
        <v>96</v>
      </c>
      <c r="B101" s="44">
        <v>45924</v>
      </c>
      <c r="C101" s="44">
        <v>45925</v>
      </c>
      <c r="D101" s="45">
        <v>0.83333333333333337</v>
      </c>
      <c r="E101" s="45">
        <v>0.33333333333333331</v>
      </c>
      <c r="F101" s="46">
        <v>415000</v>
      </c>
      <c r="G101" s="46">
        <v>415000</v>
      </c>
      <c r="H101" s="47" t="s">
        <v>12</v>
      </c>
      <c r="I101" s="48">
        <v>987262449667</v>
      </c>
      <c r="J101" s="48" t="s">
        <v>119</v>
      </c>
      <c r="K101" s="49" t="s">
        <v>20</v>
      </c>
      <c r="L101" s="43" t="s">
        <v>27</v>
      </c>
      <c r="M101" s="50" t="s">
        <v>13</v>
      </c>
    </row>
    <row r="102" spans="1:13" x14ac:dyDescent="0.35">
      <c r="A102" s="43">
        <v>97</v>
      </c>
      <c r="B102" s="44">
        <v>45925</v>
      </c>
      <c r="C102" s="44">
        <v>45925</v>
      </c>
      <c r="D102" s="45">
        <v>0.33333333333333331</v>
      </c>
      <c r="E102" s="45">
        <v>0.83333333333333337</v>
      </c>
      <c r="F102" s="46">
        <v>270000</v>
      </c>
      <c r="G102" s="46">
        <v>270000</v>
      </c>
      <c r="H102" s="47" t="s">
        <v>12</v>
      </c>
      <c r="I102" s="48">
        <v>987262489470</v>
      </c>
      <c r="J102" s="48" t="s">
        <v>126</v>
      </c>
      <c r="K102" s="49" t="s">
        <v>25</v>
      </c>
      <c r="L102" s="43" t="s">
        <v>27</v>
      </c>
      <c r="M102" s="50" t="s">
        <v>22</v>
      </c>
    </row>
    <row r="103" spans="1:13" x14ac:dyDescent="0.35">
      <c r="A103" s="43">
        <v>98</v>
      </c>
      <c r="B103" s="44">
        <v>45925</v>
      </c>
      <c r="C103" s="44">
        <v>45925</v>
      </c>
      <c r="D103" s="45">
        <v>0.33333333333333331</v>
      </c>
      <c r="E103" s="45">
        <v>0.83333333333333337</v>
      </c>
      <c r="F103" s="46">
        <v>1033000</v>
      </c>
      <c r="G103" s="46">
        <v>1033000</v>
      </c>
      <c r="H103" s="47" t="s">
        <v>12</v>
      </c>
      <c r="I103" s="48">
        <v>987262489470</v>
      </c>
      <c r="J103" s="48" t="s">
        <v>126</v>
      </c>
      <c r="K103" s="49" t="s">
        <v>24</v>
      </c>
      <c r="L103" s="43" t="s">
        <v>27</v>
      </c>
      <c r="M103" s="50" t="s">
        <v>13</v>
      </c>
    </row>
    <row r="104" spans="1:13" x14ac:dyDescent="0.35">
      <c r="A104" s="43">
        <v>99</v>
      </c>
      <c r="B104" s="44">
        <v>45925</v>
      </c>
      <c r="C104" s="44">
        <v>45926</v>
      </c>
      <c r="D104" s="45">
        <v>0.83333333333333337</v>
      </c>
      <c r="E104" s="45">
        <v>0.33333333333333331</v>
      </c>
      <c r="F104" s="46">
        <v>171000</v>
      </c>
      <c r="G104" s="46">
        <v>171000</v>
      </c>
      <c r="H104" s="47" t="s">
        <v>12</v>
      </c>
      <c r="I104" s="48">
        <v>987262489470</v>
      </c>
      <c r="J104" s="48" t="s">
        <v>126</v>
      </c>
      <c r="K104" s="49" t="s">
        <v>16</v>
      </c>
      <c r="L104" s="43" t="s">
        <v>27</v>
      </c>
      <c r="M104" s="50" t="s">
        <v>22</v>
      </c>
    </row>
    <row r="105" spans="1:13" x14ac:dyDescent="0.35">
      <c r="A105" s="43">
        <v>100</v>
      </c>
      <c r="B105" s="44">
        <v>45925</v>
      </c>
      <c r="C105" s="44">
        <v>45926</v>
      </c>
      <c r="D105" s="45">
        <v>0.83333333333333337</v>
      </c>
      <c r="E105" s="45">
        <v>0.33333333333333331</v>
      </c>
      <c r="F105" s="46">
        <v>414000</v>
      </c>
      <c r="G105" s="46">
        <v>414000</v>
      </c>
      <c r="H105" s="47" t="s">
        <v>12</v>
      </c>
      <c r="I105" s="48">
        <v>987262489470</v>
      </c>
      <c r="J105" s="48" t="s">
        <v>126</v>
      </c>
      <c r="K105" s="49" t="s">
        <v>15</v>
      </c>
      <c r="L105" s="43" t="s">
        <v>27</v>
      </c>
      <c r="M105" s="50" t="s">
        <v>13</v>
      </c>
    </row>
    <row r="106" spans="1:13" x14ac:dyDescent="0.35">
      <c r="A106" s="43">
        <v>101</v>
      </c>
      <c r="B106" s="44">
        <v>45926</v>
      </c>
      <c r="C106" s="44">
        <v>45926</v>
      </c>
      <c r="D106" s="45">
        <v>0.33333333333333331</v>
      </c>
      <c r="E106" s="45">
        <v>0.83333333333333337</v>
      </c>
      <c r="F106" s="46">
        <v>376000</v>
      </c>
      <c r="G106" s="46">
        <v>376000</v>
      </c>
      <c r="H106" s="47" t="s">
        <v>12</v>
      </c>
      <c r="I106" s="48">
        <v>987262478922</v>
      </c>
      <c r="J106" s="48" t="s">
        <v>121</v>
      </c>
      <c r="K106" s="49" t="s">
        <v>25</v>
      </c>
      <c r="L106" s="43" t="s">
        <v>27</v>
      </c>
      <c r="M106" s="50" t="s">
        <v>22</v>
      </c>
    </row>
    <row r="107" spans="1:13" x14ac:dyDescent="0.35">
      <c r="A107" s="43">
        <v>102</v>
      </c>
      <c r="B107" s="44">
        <v>45926</v>
      </c>
      <c r="C107" s="44">
        <v>45926</v>
      </c>
      <c r="D107" s="45">
        <v>0.33333333333333331</v>
      </c>
      <c r="E107" s="45">
        <v>0.83333333333333337</v>
      </c>
      <c r="F107" s="46">
        <v>1071000</v>
      </c>
      <c r="G107" s="46">
        <v>1071000</v>
      </c>
      <c r="H107" s="47" t="s">
        <v>12</v>
      </c>
      <c r="I107" s="48">
        <v>987262478922</v>
      </c>
      <c r="J107" s="48" t="s">
        <v>121</v>
      </c>
      <c r="K107" s="49" t="s">
        <v>24</v>
      </c>
      <c r="L107" s="43" t="s">
        <v>27</v>
      </c>
      <c r="M107" s="50" t="s">
        <v>13</v>
      </c>
    </row>
    <row r="108" spans="1:13" x14ac:dyDescent="0.35">
      <c r="A108" s="43">
        <v>103</v>
      </c>
      <c r="B108" s="44">
        <v>45926</v>
      </c>
      <c r="C108" s="44">
        <v>45927</v>
      </c>
      <c r="D108" s="45">
        <v>0.83333333333333337</v>
      </c>
      <c r="E108" s="45">
        <v>0.33333333333333331</v>
      </c>
      <c r="F108" s="46">
        <v>322000</v>
      </c>
      <c r="G108" s="46">
        <v>322000</v>
      </c>
      <c r="H108" s="47" t="s">
        <v>12</v>
      </c>
      <c r="I108" s="48">
        <v>987262478922</v>
      </c>
      <c r="J108" s="48" t="s">
        <v>121</v>
      </c>
      <c r="K108" s="49" t="s">
        <v>16</v>
      </c>
      <c r="L108" s="43" t="s">
        <v>27</v>
      </c>
      <c r="M108" s="50" t="s">
        <v>22</v>
      </c>
    </row>
    <row r="109" spans="1:13" x14ac:dyDescent="0.35">
      <c r="A109" s="43">
        <v>104</v>
      </c>
      <c r="B109" s="44">
        <v>45926</v>
      </c>
      <c r="C109" s="44">
        <v>45927</v>
      </c>
      <c r="D109" s="45">
        <v>0.83333333333333337</v>
      </c>
      <c r="E109" s="45">
        <v>0.33333333333333331</v>
      </c>
      <c r="F109" s="46">
        <v>482000</v>
      </c>
      <c r="G109" s="46">
        <v>482000</v>
      </c>
      <c r="H109" s="47" t="s">
        <v>12</v>
      </c>
      <c r="I109" s="48">
        <v>987262478922</v>
      </c>
      <c r="J109" s="48" t="s">
        <v>121</v>
      </c>
      <c r="K109" s="49" t="s">
        <v>15</v>
      </c>
      <c r="L109" s="43" t="s">
        <v>27</v>
      </c>
      <c r="M109" s="50" t="s">
        <v>13</v>
      </c>
    </row>
    <row r="110" spans="1:13" x14ac:dyDescent="0.35">
      <c r="A110" s="43">
        <v>105</v>
      </c>
      <c r="B110" s="44">
        <v>45927</v>
      </c>
      <c r="C110" s="44">
        <v>45927</v>
      </c>
      <c r="D110" s="45">
        <v>0.33333333333333331</v>
      </c>
      <c r="E110" s="45">
        <v>0.83333333333333337</v>
      </c>
      <c r="F110" s="46">
        <v>222000</v>
      </c>
      <c r="G110" s="46">
        <v>222000</v>
      </c>
      <c r="H110" s="47" t="s">
        <v>12</v>
      </c>
      <c r="I110" s="48">
        <v>987262478929</v>
      </c>
      <c r="J110" s="48" t="s">
        <v>122</v>
      </c>
      <c r="K110" s="49" t="s">
        <v>19</v>
      </c>
      <c r="L110" s="43" t="s">
        <v>27</v>
      </c>
      <c r="M110" s="50" t="s">
        <v>22</v>
      </c>
    </row>
    <row r="111" spans="1:13" x14ac:dyDescent="0.35">
      <c r="A111" s="43">
        <v>106</v>
      </c>
      <c r="B111" s="44">
        <v>45927</v>
      </c>
      <c r="C111" s="44">
        <v>45927</v>
      </c>
      <c r="D111" s="45">
        <v>0.33333333333333331</v>
      </c>
      <c r="E111" s="45">
        <v>0.83333333333333337</v>
      </c>
      <c r="F111" s="46">
        <v>1006000</v>
      </c>
      <c r="G111" s="46">
        <v>1006000</v>
      </c>
      <c r="H111" s="47" t="s">
        <v>12</v>
      </c>
      <c r="I111" s="48">
        <v>987262478929</v>
      </c>
      <c r="J111" s="48" t="s">
        <v>122</v>
      </c>
      <c r="K111" s="49" t="s">
        <v>20</v>
      </c>
      <c r="L111" s="43" t="s">
        <v>27</v>
      </c>
      <c r="M111" s="50" t="s">
        <v>13</v>
      </c>
    </row>
    <row r="112" spans="1:13" x14ac:dyDescent="0.35">
      <c r="A112" s="43">
        <v>107</v>
      </c>
      <c r="B112" s="44">
        <v>45927</v>
      </c>
      <c r="C112" s="44">
        <v>45928</v>
      </c>
      <c r="D112" s="45">
        <v>0.83333333333333337</v>
      </c>
      <c r="E112" s="45">
        <v>0.33333333333333331</v>
      </c>
      <c r="F112" s="46">
        <v>234000</v>
      </c>
      <c r="G112" s="46">
        <v>234000</v>
      </c>
      <c r="H112" s="47" t="s">
        <v>12</v>
      </c>
      <c r="I112" s="48">
        <v>987262478929</v>
      </c>
      <c r="J112" s="48" t="s">
        <v>122</v>
      </c>
      <c r="K112" s="49" t="s">
        <v>25</v>
      </c>
      <c r="L112" s="43" t="s">
        <v>27</v>
      </c>
      <c r="M112" s="50" t="s">
        <v>22</v>
      </c>
    </row>
    <row r="113" spans="1:14" x14ac:dyDescent="0.35">
      <c r="A113" s="43">
        <v>108</v>
      </c>
      <c r="B113" s="44">
        <v>45927</v>
      </c>
      <c r="C113" s="44">
        <v>45928</v>
      </c>
      <c r="D113" s="45">
        <v>0.83333333333333337</v>
      </c>
      <c r="E113" s="45">
        <v>0.33333333333333331</v>
      </c>
      <c r="F113" s="46">
        <v>603000</v>
      </c>
      <c r="G113" s="46">
        <v>603000</v>
      </c>
      <c r="H113" s="47" t="s">
        <v>12</v>
      </c>
      <c r="I113" s="48">
        <v>987262478929</v>
      </c>
      <c r="J113" s="48" t="s">
        <v>122</v>
      </c>
      <c r="K113" s="49" t="s">
        <v>24</v>
      </c>
      <c r="L113" s="43" t="s">
        <v>27</v>
      </c>
      <c r="M113" s="50" t="s">
        <v>13</v>
      </c>
    </row>
    <row r="114" spans="1:14" x14ac:dyDescent="0.35">
      <c r="A114" s="43">
        <v>109</v>
      </c>
      <c r="B114" s="44">
        <v>45928</v>
      </c>
      <c r="C114" s="44">
        <v>45928</v>
      </c>
      <c r="D114" s="45">
        <v>0.33333333333333331</v>
      </c>
      <c r="E114" s="45">
        <v>0.83333333333333337</v>
      </c>
      <c r="F114" s="46">
        <v>756000</v>
      </c>
      <c r="G114" s="46">
        <v>756000</v>
      </c>
      <c r="H114" s="47" t="s">
        <v>12</v>
      </c>
      <c r="I114" s="48">
        <v>987262478839</v>
      </c>
      <c r="J114" s="48" t="s">
        <v>123</v>
      </c>
      <c r="K114" s="49" t="s">
        <v>19</v>
      </c>
      <c r="L114" s="43" t="s">
        <v>27</v>
      </c>
      <c r="M114" s="50" t="s">
        <v>22</v>
      </c>
    </row>
    <row r="115" spans="1:14" x14ac:dyDescent="0.35">
      <c r="A115" s="43">
        <v>110</v>
      </c>
      <c r="B115" s="44">
        <v>45928</v>
      </c>
      <c r="C115" s="44">
        <v>45928</v>
      </c>
      <c r="D115" s="45">
        <v>0.33333333333333331</v>
      </c>
      <c r="E115" s="45">
        <v>0.83333333333333337</v>
      </c>
      <c r="F115" s="46">
        <v>1314000</v>
      </c>
      <c r="G115" s="46">
        <v>1314000</v>
      </c>
      <c r="H115" s="47" t="s">
        <v>12</v>
      </c>
      <c r="I115" s="48">
        <v>987262478839</v>
      </c>
      <c r="J115" s="48" t="s">
        <v>123</v>
      </c>
      <c r="K115" s="49" t="s">
        <v>20</v>
      </c>
      <c r="L115" s="43" t="s">
        <v>27</v>
      </c>
      <c r="M115" s="50" t="s">
        <v>13</v>
      </c>
    </row>
    <row r="116" spans="1:14" x14ac:dyDescent="0.35">
      <c r="A116" s="43">
        <v>111</v>
      </c>
      <c r="B116" s="44">
        <v>45928</v>
      </c>
      <c r="C116" s="44">
        <v>45929</v>
      </c>
      <c r="D116" s="45">
        <v>0.83333333333333337</v>
      </c>
      <c r="E116" s="45">
        <v>0.33333333333333331</v>
      </c>
      <c r="F116" s="46">
        <v>439000</v>
      </c>
      <c r="G116" s="46">
        <v>439000</v>
      </c>
      <c r="H116" s="47" t="s">
        <v>12</v>
      </c>
      <c r="I116" s="48">
        <v>987262478839</v>
      </c>
      <c r="J116" s="48" t="s">
        <v>123</v>
      </c>
      <c r="K116" s="49" t="s">
        <v>25</v>
      </c>
      <c r="L116" s="43" t="s">
        <v>27</v>
      </c>
      <c r="M116" s="50" t="s">
        <v>22</v>
      </c>
    </row>
    <row r="117" spans="1:14" x14ac:dyDescent="0.35">
      <c r="A117" s="43">
        <v>112</v>
      </c>
      <c r="B117" s="44">
        <v>45928</v>
      </c>
      <c r="C117" s="44">
        <v>45929</v>
      </c>
      <c r="D117" s="45">
        <v>0.83333333333333337</v>
      </c>
      <c r="E117" s="45">
        <v>0.33333333333333331</v>
      </c>
      <c r="F117" s="46">
        <v>525000</v>
      </c>
      <c r="G117" s="46">
        <v>525000</v>
      </c>
      <c r="H117" s="47" t="s">
        <v>12</v>
      </c>
      <c r="I117" s="48">
        <v>987262478839</v>
      </c>
      <c r="J117" s="48" t="s">
        <v>123</v>
      </c>
      <c r="K117" s="49" t="s">
        <v>24</v>
      </c>
      <c r="L117" s="43" t="s">
        <v>27</v>
      </c>
      <c r="M117" s="50" t="s">
        <v>13</v>
      </c>
    </row>
    <row r="118" spans="1:14" x14ac:dyDescent="0.35">
      <c r="A118" s="43">
        <v>113</v>
      </c>
      <c r="B118" s="44">
        <v>45929</v>
      </c>
      <c r="C118" s="44">
        <v>45929</v>
      </c>
      <c r="D118" s="45">
        <v>0.33333333333333331</v>
      </c>
      <c r="E118" s="45">
        <v>0.83333333333333337</v>
      </c>
      <c r="F118" s="46">
        <v>349000</v>
      </c>
      <c r="G118" s="46">
        <v>349000</v>
      </c>
      <c r="H118" s="47" t="s">
        <v>12</v>
      </c>
      <c r="I118" s="48">
        <v>987262531311</v>
      </c>
      <c r="J118" s="48" t="s">
        <v>129</v>
      </c>
      <c r="K118" s="49" t="s">
        <v>16</v>
      </c>
      <c r="L118" s="43" t="s">
        <v>27</v>
      </c>
      <c r="M118" s="50" t="s">
        <v>120</v>
      </c>
    </row>
    <row r="119" spans="1:14" x14ac:dyDescent="0.35">
      <c r="A119" s="43">
        <v>114</v>
      </c>
      <c r="B119" s="44">
        <v>45929</v>
      </c>
      <c r="C119" s="44">
        <v>45929</v>
      </c>
      <c r="D119" s="45">
        <v>0.33333333333333331</v>
      </c>
      <c r="E119" s="45">
        <v>0.83333333333333337</v>
      </c>
      <c r="F119" s="46">
        <v>1247000</v>
      </c>
      <c r="G119" s="46">
        <v>1247000</v>
      </c>
      <c r="H119" s="47" t="s">
        <v>12</v>
      </c>
      <c r="I119" s="48">
        <v>987262531311</v>
      </c>
      <c r="J119" s="48" t="s">
        <v>129</v>
      </c>
      <c r="K119" s="49" t="s">
        <v>15</v>
      </c>
      <c r="L119" s="43" t="s">
        <v>27</v>
      </c>
      <c r="M119" s="50" t="s">
        <v>13</v>
      </c>
    </row>
    <row r="120" spans="1:14" x14ac:dyDescent="0.35">
      <c r="A120" s="43">
        <v>115</v>
      </c>
      <c r="B120" s="44">
        <v>45929</v>
      </c>
      <c r="C120" s="44">
        <v>45930</v>
      </c>
      <c r="D120" s="45">
        <v>0.83333333333333337</v>
      </c>
      <c r="E120" s="45">
        <v>0.33333333333333331</v>
      </c>
      <c r="F120" s="46">
        <v>276000</v>
      </c>
      <c r="G120" s="46">
        <v>276000</v>
      </c>
      <c r="H120" s="47" t="s">
        <v>12</v>
      </c>
      <c r="I120" s="48">
        <v>987262531311</v>
      </c>
      <c r="J120" s="48" t="s">
        <v>129</v>
      </c>
      <c r="K120" s="49" t="s">
        <v>19</v>
      </c>
      <c r="L120" s="43" t="s">
        <v>27</v>
      </c>
      <c r="M120" s="50" t="s">
        <v>21</v>
      </c>
    </row>
    <row r="121" spans="1:14" x14ac:dyDescent="0.35">
      <c r="A121" s="43">
        <v>116</v>
      </c>
      <c r="B121" s="44">
        <v>45929</v>
      </c>
      <c r="C121" s="44">
        <v>45930</v>
      </c>
      <c r="D121" s="45">
        <v>0.83333333333333337</v>
      </c>
      <c r="E121" s="45">
        <v>0.33333333333333331</v>
      </c>
      <c r="F121" s="46">
        <v>321000</v>
      </c>
      <c r="G121" s="46">
        <v>321000</v>
      </c>
      <c r="H121" s="47" t="s">
        <v>12</v>
      </c>
      <c r="I121" s="48">
        <v>987262531311</v>
      </c>
      <c r="J121" s="48" t="s">
        <v>129</v>
      </c>
      <c r="K121" s="49" t="s">
        <v>20</v>
      </c>
      <c r="L121" s="43" t="s">
        <v>27</v>
      </c>
      <c r="M121" s="50" t="s">
        <v>13</v>
      </c>
    </row>
    <row r="122" spans="1:14" x14ac:dyDescent="0.35">
      <c r="A122" s="43">
        <v>117</v>
      </c>
      <c r="B122" s="44">
        <v>45930</v>
      </c>
      <c r="C122" s="44">
        <v>45930</v>
      </c>
      <c r="D122" s="45">
        <v>0.33333333333333331</v>
      </c>
      <c r="E122" s="45">
        <v>0.83333333333333337</v>
      </c>
      <c r="F122" s="46">
        <v>245000</v>
      </c>
      <c r="G122" s="46">
        <v>245000</v>
      </c>
      <c r="H122" s="47" t="s">
        <v>12</v>
      </c>
      <c r="I122" s="48">
        <v>987262512459</v>
      </c>
      <c r="J122" s="48" t="s">
        <v>128</v>
      </c>
      <c r="K122" s="49" t="s">
        <v>16</v>
      </c>
      <c r="L122" s="43" t="s">
        <v>27</v>
      </c>
      <c r="M122" s="50" t="s">
        <v>21</v>
      </c>
    </row>
    <row r="123" spans="1:14" x14ac:dyDescent="0.35">
      <c r="A123" s="43">
        <v>118</v>
      </c>
      <c r="B123" s="44">
        <v>45930</v>
      </c>
      <c r="C123" s="44">
        <v>45930</v>
      </c>
      <c r="D123" s="45">
        <v>0.33333333333333331</v>
      </c>
      <c r="E123" s="45">
        <v>0.83333333333333337</v>
      </c>
      <c r="F123" s="46">
        <v>962000</v>
      </c>
      <c r="G123" s="46">
        <v>962000</v>
      </c>
      <c r="H123" s="47" t="s">
        <v>12</v>
      </c>
      <c r="I123" s="48">
        <v>987262512459</v>
      </c>
      <c r="J123" s="48" t="s">
        <v>128</v>
      </c>
      <c r="K123" s="49" t="s">
        <v>15</v>
      </c>
      <c r="L123" s="43" t="s">
        <v>27</v>
      </c>
      <c r="M123" s="50" t="s">
        <v>13</v>
      </c>
    </row>
    <row r="124" spans="1:14" x14ac:dyDescent="0.35">
      <c r="A124" s="43">
        <v>119</v>
      </c>
      <c r="B124" s="44">
        <v>45930</v>
      </c>
      <c r="C124" s="44">
        <v>45931</v>
      </c>
      <c r="D124" s="45">
        <v>0.83333333333333337</v>
      </c>
      <c r="E124" s="45">
        <v>0.33333333333333331</v>
      </c>
      <c r="F124" s="46">
        <v>55000</v>
      </c>
      <c r="G124" s="46">
        <v>55000</v>
      </c>
      <c r="H124" s="47" t="s">
        <v>12</v>
      </c>
      <c r="I124" s="48">
        <v>987262512459</v>
      </c>
      <c r="J124" s="48" t="s">
        <v>128</v>
      </c>
      <c r="K124" s="49" t="s">
        <v>19</v>
      </c>
      <c r="L124" s="43" t="s">
        <v>27</v>
      </c>
      <c r="M124" s="50" t="s">
        <v>21</v>
      </c>
    </row>
    <row r="125" spans="1:14" x14ac:dyDescent="0.35">
      <c r="A125" s="43">
        <v>120</v>
      </c>
      <c r="B125" s="44">
        <v>45930</v>
      </c>
      <c r="C125" s="44">
        <v>45931</v>
      </c>
      <c r="D125" s="45">
        <v>0.83333333333333337</v>
      </c>
      <c r="E125" s="45">
        <v>0.33333333333333331</v>
      </c>
      <c r="F125" s="46">
        <v>361000</v>
      </c>
      <c r="G125" s="46">
        <v>361000</v>
      </c>
      <c r="H125" s="47" t="s">
        <v>12</v>
      </c>
      <c r="I125" s="48">
        <v>987262512459</v>
      </c>
      <c r="J125" s="48" t="s">
        <v>128</v>
      </c>
      <c r="K125" s="49" t="s">
        <v>20</v>
      </c>
      <c r="L125" s="43" t="s">
        <v>27</v>
      </c>
      <c r="M125" s="50" t="s">
        <v>13</v>
      </c>
    </row>
    <row r="126" spans="1:14" s="7" customFormat="1" x14ac:dyDescent="0.35">
      <c r="A126" s="18"/>
      <c r="B126" s="19"/>
      <c r="C126" s="19"/>
      <c r="D126" s="19"/>
      <c r="E126" s="19" t="s">
        <v>4</v>
      </c>
      <c r="F126" s="20">
        <f>SUM(F6:F125)</f>
        <v>67356000</v>
      </c>
      <c r="G126" s="21">
        <f>SUM(G6:G125)</f>
        <v>67356000</v>
      </c>
      <c r="H126" s="19"/>
      <c r="I126" s="19"/>
      <c r="J126" s="19"/>
      <c r="K126" s="19"/>
      <c r="L126" s="19"/>
      <c r="M126" s="17"/>
    </row>
    <row r="128" spans="1:14" x14ac:dyDescent="0.35">
      <c r="N128">
        <v>3</v>
      </c>
    </row>
    <row r="136" spans="9:9" x14ac:dyDescent="0.35">
      <c r="I136" t="s">
        <v>125</v>
      </c>
    </row>
  </sheetData>
  <mergeCells count="3">
    <mergeCell ref="B2:M2"/>
    <mergeCell ref="B3:M3"/>
    <mergeCell ref="B4:M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33F0C-0EB9-4E8A-9612-8CE04AFC414E}">
  <dimension ref="A1:P132"/>
  <sheetViews>
    <sheetView topLeftCell="A121" workbookViewId="0">
      <selection activeCell="B1" sqref="B1:M3"/>
    </sheetView>
  </sheetViews>
  <sheetFormatPr defaultRowHeight="14.5" x14ac:dyDescent="0.35"/>
  <cols>
    <col min="1" max="1" width="8" style="29" customWidth="1"/>
    <col min="2" max="2" width="10.6328125" style="29" customWidth="1"/>
    <col min="3" max="3" width="11.54296875" style="29" customWidth="1"/>
    <col min="4" max="4" width="9.26953125" customWidth="1"/>
    <col min="5" max="5" width="11.1796875" customWidth="1"/>
    <col min="6" max="6" width="20.90625" customWidth="1"/>
    <col min="7" max="7" width="21.54296875" customWidth="1"/>
    <col min="8" max="8" width="14.81640625" customWidth="1"/>
    <col min="9" max="9" width="17.36328125" customWidth="1"/>
    <col min="10" max="10" width="21.1796875" customWidth="1"/>
    <col min="11" max="11" width="17.90625" customWidth="1"/>
    <col min="12" max="12" width="21.36328125" customWidth="1"/>
    <col min="13" max="13" width="14" customWidth="1"/>
    <col min="14" max="16" width="8.7265625" hidden="1" customWidth="1"/>
  </cols>
  <sheetData>
    <row r="1" spans="1:13" ht="15.5" x14ac:dyDescent="0.35">
      <c r="A1" s="1"/>
      <c r="B1" s="348" t="s">
        <v>50</v>
      </c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50"/>
    </row>
    <row r="2" spans="1:13" ht="15.5" x14ac:dyDescent="0.35">
      <c r="A2" s="1"/>
      <c r="B2" s="345">
        <v>45931</v>
      </c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7"/>
    </row>
    <row r="3" spans="1:13" ht="15.5" x14ac:dyDescent="0.35">
      <c r="A3" s="1"/>
      <c r="B3" s="348" t="s">
        <v>51</v>
      </c>
      <c r="C3" s="349"/>
      <c r="D3" s="349"/>
      <c r="E3" s="349"/>
      <c r="F3" s="349"/>
      <c r="G3" s="349"/>
      <c r="H3" s="349"/>
      <c r="I3" s="349"/>
      <c r="J3" s="349"/>
      <c r="K3" s="349"/>
      <c r="L3" s="349"/>
      <c r="M3" s="350"/>
    </row>
    <row r="4" spans="1:13" x14ac:dyDescent="0.35">
      <c r="A4" s="30" t="s">
        <v>52</v>
      </c>
      <c r="B4" s="51" t="s">
        <v>2</v>
      </c>
      <c r="C4" s="30" t="s">
        <v>3</v>
      </c>
      <c r="D4" s="30" t="s">
        <v>0</v>
      </c>
      <c r="E4" s="30" t="s">
        <v>1</v>
      </c>
      <c r="F4" s="52" t="s">
        <v>10</v>
      </c>
      <c r="G4" s="53" t="s">
        <v>9</v>
      </c>
      <c r="H4" s="53" t="s">
        <v>11</v>
      </c>
      <c r="I4" s="54" t="s">
        <v>18</v>
      </c>
      <c r="J4" s="30" t="s">
        <v>17</v>
      </c>
      <c r="K4" s="55" t="s">
        <v>5</v>
      </c>
      <c r="L4" s="30" t="s">
        <v>8</v>
      </c>
      <c r="M4" s="56" t="s">
        <v>6</v>
      </c>
    </row>
    <row r="5" spans="1:13" x14ac:dyDescent="0.35">
      <c r="A5" s="57">
        <v>1</v>
      </c>
      <c r="B5" s="58">
        <v>45931</v>
      </c>
      <c r="C5" s="58">
        <v>45931</v>
      </c>
      <c r="D5" s="59">
        <v>0.33333333333333331</v>
      </c>
      <c r="E5" s="59">
        <v>0.83333333333333337</v>
      </c>
      <c r="F5" s="60">
        <v>247000</v>
      </c>
      <c r="G5" s="60">
        <v>247000</v>
      </c>
      <c r="H5" s="61" t="s">
        <v>12</v>
      </c>
      <c r="I5" s="62">
        <v>987262512518</v>
      </c>
      <c r="J5" s="62" t="s">
        <v>127</v>
      </c>
      <c r="K5" s="63" t="s">
        <v>25</v>
      </c>
      <c r="L5" s="57" t="s">
        <v>27</v>
      </c>
      <c r="M5" s="64" t="s">
        <v>22</v>
      </c>
    </row>
    <row r="6" spans="1:13" x14ac:dyDescent="0.35">
      <c r="A6" s="57">
        <v>2</v>
      </c>
      <c r="B6" s="58">
        <v>45931</v>
      </c>
      <c r="C6" s="58">
        <v>45931</v>
      </c>
      <c r="D6" s="59">
        <v>0.33333333333333331</v>
      </c>
      <c r="E6" s="59">
        <v>0.83333333333333337</v>
      </c>
      <c r="F6" s="65">
        <v>980000</v>
      </c>
      <c r="G6" s="65">
        <v>980000</v>
      </c>
      <c r="H6" s="61" t="s">
        <v>12</v>
      </c>
      <c r="I6" s="62">
        <v>987262512518</v>
      </c>
      <c r="J6" s="62" t="s">
        <v>127</v>
      </c>
      <c r="K6" s="66" t="s">
        <v>24</v>
      </c>
      <c r="L6" s="57" t="s">
        <v>27</v>
      </c>
      <c r="M6" s="64" t="s">
        <v>124</v>
      </c>
    </row>
    <row r="7" spans="1:13" x14ac:dyDescent="0.35">
      <c r="A7" s="57">
        <v>3</v>
      </c>
      <c r="B7" s="58">
        <v>45931</v>
      </c>
      <c r="C7" s="58">
        <v>45932</v>
      </c>
      <c r="D7" s="59">
        <v>0.83333333333333337</v>
      </c>
      <c r="E7" s="59">
        <v>0.33333333333333331</v>
      </c>
      <c r="F7" s="65">
        <v>140000</v>
      </c>
      <c r="G7" s="65">
        <v>140000</v>
      </c>
      <c r="H7" s="61" t="s">
        <v>12</v>
      </c>
      <c r="I7" s="62">
        <v>987262512518</v>
      </c>
      <c r="J7" s="62" t="s">
        <v>127</v>
      </c>
      <c r="K7" s="66" t="s">
        <v>16</v>
      </c>
      <c r="L7" s="57" t="s">
        <v>27</v>
      </c>
      <c r="M7" s="64" t="s">
        <v>22</v>
      </c>
    </row>
    <row r="8" spans="1:13" x14ac:dyDescent="0.35">
      <c r="A8" s="57">
        <v>4</v>
      </c>
      <c r="B8" s="58">
        <v>45931</v>
      </c>
      <c r="C8" s="58">
        <v>45932</v>
      </c>
      <c r="D8" s="59">
        <v>0.83333333333333337</v>
      </c>
      <c r="E8" s="59">
        <v>0.33333333333333331</v>
      </c>
      <c r="F8" s="65">
        <v>329000</v>
      </c>
      <c r="G8" s="65">
        <v>329000</v>
      </c>
      <c r="H8" s="61" t="s">
        <v>12</v>
      </c>
      <c r="I8" s="62">
        <v>987262512518</v>
      </c>
      <c r="J8" s="62" t="s">
        <v>127</v>
      </c>
      <c r="K8" s="66" t="s">
        <v>15</v>
      </c>
      <c r="L8" s="57" t="s">
        <v>27</v>
      </c>
      <c r="M8" s="64" t="s">
        <v>124</v>
      </c>
    </row>
    <row r="9" spans="1:13" x14ac:dyDescent="0.35">
      <c r="A9" s="57">
        <v>5</v>
      </c>
      <c r="B9" s="58">
        <v>45932</v>
      </c>
      <c r="C9" s="58">
        <v>45932</v>
      </c>
      <c r="D9" s="59">
        <v>0.33333333333333331</v>
      </c>
      <c r="E9" s="59">
        <v>0.83333333333333337</v>
      </c>
      <c r="F9" s="65">
        <v>253000</v>
      </c>
      <c r="G9" s="65">
        <v>253000</v>
      </c>
      <c r="H9" s="61" t="s">
        <v>12</v>
      </c>
      <c r="I9" s="62">
        <v>987262523746</v>
      </c>
      <c r="J9" s="62">
        <v>9252773372224100</v>
      </c>
      <c r="K9" s="66" t="s">
        <v>25</v>
      </c>
      <c r="L9" s="57" t="s">
        <v>27</v>
      </c>
      <c r="M9" s="64" t="s">
        <v>22</v>
      </c>
    </row>
    <row r="10" spans="1:13" x14ac:dyDescent="0.35">
      <c r="A10" s="57">
        <v>6</v>
      </c>
      <c r="B10" s="58">
        <v>45932</v>
      </c>
      <c r="C10" s="58">
        <v>45932</v>
      </c>
      <c r="D10" s="59">
        <v>0.33333333333333331</v>
      </c>
      <c r="E10" s="59">
        <v>0.83333333333333337</v>
      </c>
      <c r="F10" s="65">
        <v>959000</v>
      </c>
      <c r="G10" s="65">
        <v>959000</v>
      </c>
      <c r="H10" s="61" t="s">
        <v>12</v>
      </c>
      <c r="I10" s="62">
        <v>987262523746</v>
      </c>
      <c r="J10" s="62">
        <v>9252773372224100</v>
      </c>
      <c r="K10" s="66" t="s">
        <v>24</v>
      </c>
      <c r="L10" s="57" t="s">
        <v>27</v>
      </c>
      <c r="M10" s="64" t="s">
        <v>124</v>
      </c>
    </row>
    <row r="11" spans="1:13" x14ac:dyDescent="0.35">
      <c r="A11" s="57">
        <v>7</v>
      </c>
      <c r="B11" s="58">
        <v>45932</v>
      </c>
      <c r="C11" s="58">
        <v>45933</v>
      </c>
      <c r="D11" s="59">
        <v>0.83333333333333337</v>
      </c>
      <c r="E11" s="59">
        <v>0.33333333333333331</v>
      </c>
      <c r="F11" s="65">
        <v>106000</v>
      </c>
      <c r="G11" s="65">
        <v>106000</v>
      </c>
      <c r="H11" s="61" t="s">
        <v>12</v>
      </c>
      <c r="I11" s="62">
        <v>987262523746</v>
      </c>
      <c r="J11" s="62">
        <v>9252773372224100</v>
      </c>
      <c r="K11" s="66" t="s">
        <v>16</v>
      </c>
      <c r="L11" s="57" t="s">
        <v>27</v>
      </c>
      <c r="M11" s="64" t="s">
        <v>22</v>
      </c>
    </row>
    <row r="12" spans="1:13" x14ac:dyDescent="0.35">
      <c r="A12" s="57">
        <v>8</v>
      </c>
      <c r="B12" s="58">
        <v>45932</v>
      </c>
      <c r="C12" s="58">
        <v>45933</v>
      </c>
      <c r="D12" s="59">
        <v>0.83333333333333337</v>
      </c>
      <c r="E12" s="59">
        <v>0.33333333333333331</v>
      </c>
      <c r="F12" s="65">
        <v>464000</v>
      </c>
      <c r="G12" s="65">
        <v>464000</v>
      </c>
      <c r="H12" s="61" t="s">
        <v>12</v>
      </c>
      <c r="I12" s="62">
        <v>987262523746</v>
      </c>
      <c r="J12" s="62">
        <v>9252773372224100</v>
      </c>
      <c r="K12" s="66" t="s">
        <v>15</v>
      </c>
      <c r="L12" s="57" t="s">
        <v>27</v>
      </c>
      <c r="M12" s="64" t="s">
        <v>124</v>
      </c>
    </row>
    <row r="13" spans="1:13" x14ac:dyDescent="0.35">
      <c r="A13" s="57">
        <v>9</v>
      </c>
      <c r="B13" s="58">
        <v>45933</v>
      </c>
      <c r="C13" s="58">
        <v>45933</v>
      </c>
      <c r="D13" s="59">
        <v>0.33333333333333331</v>
      </c>
      <c r="E13" s="59">
        <v>0.83333333333333337</v>
      </c>
      <c r="F13" s="65">
        <v>234000</v>
      </c>
      <c r="G13" s="65">
        <v>234000</v>
      </c>
      <c r="H13" s="61" t="s">
        <v>12</v>
      </c>
      <c r="I13" s="62">
        <v>987262531362</v>
      </c>
      <c r="J13" s="62" t="s">
        <v>134</v>
      </c>
      <c r="K13" s="66" t="s">
        <v>19</v>
      </c>
      <c r="L13" s="57" t="s">
        <v>27</v>
      </c>
      <c r="M13" s="64" t="s">
        <v>22</v>
      </c>
    </row>
    <row r="14" spans="1:13" hidden="1" x14ac:dyDescent="0.35">
      <c r="A14" s="57">
        <v>10</v>
      </c>
      <c r="B14" s="58">
        <v>45933</v>
      </c>
      <c r="C14" s="58">
        <v>45933</v>
      </c>
      <c r="D14" s="59">
        <v>0.33333333333333331</v>
      </c>
      <c r="E14" s="59">
        <v>0.83333333333333337</v>
      </c>
      <c r="F14" s="65">
        <v>1137000</v>
      </c>
      <c r="G14" s="65">
        <v>1137000</v>
      </c>
      <c r="H14" s="61" t="s">
        <v>12</v>
      </c>
      <c r="I14" s="62">
        <v>987262531362</v>
      </c>
      <c r="J14" s="62" t="s">
        <v>135</v>
      </c>
      <c r="K14" s="66" t="s">
        <v>20</v>
      </c>
      <c r="L14" s="57" t="s">
        <v>27</v>
      </c>
      <c r="M14" s="64" t="s">
        <v>124</v>
      </c>
    </row>
    <row r="15" spans="1:13" x14ac:dyDescent="0.35">
      <c r="A15" s="57">
        <v>10</v>
      </c>
      <c r="B15" s="58">
        <v>45933</v>
      </c>
      <c r="C15" s="58">
        <v>45933</v>
      </c>
      <c r="D15" s="59">
        <v>0.33333333333333331</v>
      </c>
      <c r="E15" s="59">
        <v>0.83333333333333337</v>
      </c>
      <c r="F15" s="65">
        <v>1137000</v>
      </c>
      <c r="G15" s="65">
        <v>1137000</v>
      </c>
      <c r="H15" s="61"/>
      <c r="I15" s="62">
        <v>987262531362</v>
      </c>
      <c r="J15" s="62" t="s">
        <v>134</v>
      </c>
      <c r="K15" s="66" t="s">
        <v>136</v>
      </c>
      <c r="L15" s="57" t="s">
        <v>27</v>
      </c>
      <c r="M15" s="64" t="s">
        <v>46</v>
      </c>
    </row>
    <row r="16" spans="1:13" x14ac:dyDescent="0.35">
      <c r="A16" s="57">
        <v>11</v>
      </c>
      <c r="B16" s="58">
        <v>45933</v>
      </c>
      <c r="C16" s="58">
        <v>45934</v>
      </c>
      <c r="D16" s="59">
        <v>0.83333333333333337</v>
      </c>
      <c r="E16" s="59">
        <v>0.33333333333333331</v>
      </c>
      <c r="F16" s="65">
        <v>160000</v>
      </c>
      <c r="G16" s="65">
        <v>160000</v>
      </c>
      <c r="H16" s="61" t="s">
        <v>12</v>
      </c>
      <c r="I16" s="62">
        <v>987262531362</v>
      </c>
      <c r="J16" s="62" t="s">
        <v>134</v>
      </c>
      <c r="K16" s="66" t="s">
        <v>25</v>
      </c>
      <c r="L16" s="57" t="s">
        <v>27</v>
      </c>
      <c r="M16" s="64" t="s">
        <v>22</v>
      </c>
    </row>
    <row r="17" spans="1:13" x14ac:dyDescent="0.35">
      <c r="A17" s="57">
        <v>12</v>
      </c>
      <c r="B17" s="58">
        <v>45933</v>
      </c>
      <c r="C17" s="58">
        <v>45934</v>
      </c>
      <c r="D17" s="59">
        <v>0.83333333333333337</v>
      </c>
      <c r="E17" s="59">
        <v>0.33333333333333331</v>
      </c>
      <c r="F17" s="65">
        <v>372000</v>
      </c>
      <c r="G17" s="65">
        <v>372000</v>
      </c>
      <c r="H17" s="61" t="s">
        <v>12</v>
      </c>
      <c r="I17" s="62">
        <v>987262531362</v>
      </c>
      <c r="J17" s="62" t="s">
        <v>134</v>
      </c>
      <c r="K17" s="66" t="s">
        <v>24</v>
      </c>
      <c r="L17" s="57" t="s">
        <v>27</v>
      </c>
      <c r="M17" s="64" t="s">
        <v>13</v>
      </c>
    </row>
    <row r="18" spans="1:13" x14ac:dyDescent="0.35">
      <c r="A18" s="57">
        <v>13</v>
      </c>
      <c r="B18" s="58">
        <v>45934</v>
      </c>
      <c r="C18" s="58">
        <v>45934</v>
      </c>
      <c r="D18" s="59">
        <v>0.33333333333333331</v>
      </c>
      <c r="E18" s="59">
        <v>0.83333333333333337</v>
      </c>
      <c r="F18" s="65">
        <v>223000</v>
      </c>
      <c r="G18" s="65">
        <v>223000</v>
      </c>
      <c r="H18" s="61" t="s">
        <v>12</v>
      </c>
      <c r="I18" s="62">
        <v>987262541181</v>
      </c>
      <c r="J18" s="62" t="s">
        <v>130</v>
      </c>
      <c r="K18" s="66" t="s">
        <v>19</v>
      </c>
      <c r="L18" s="57" t="s">
        <v>27</v>
      </c>
      <c r="M18" s="64" t="s">
        <v>39</v>
      </c>
    </row>
    <row r="19" spans="1:13" x14ac:dyDescent="0.35">
      <c r="A19" s="57">
        <v>14</v>
      </c>
      <c r="B19" s="58">
        <v>45934</v>
      </c>
      <c r="C19" s="58">
        <v>45934</v>
      </c>
      <c r="D19" s="59">
        <v>0.33333333333333331</v>
      </c>
      <c r="E19" s="59">
        <v>0.83333333333333337</v>
      </c>
      <c r="F19" s="65">
        <v>1045000</v>
      </c>
      <c r="G19" s="65">
        <v>1045000</v>
      </c>
      <c r="H19" s="61" t="s">
        <v>12</v>
      </c>
      <c r="I19" s="62">
        <v>987262541181</v>
      </c>
      <c r="J19" s="62" t="s">
        <v>130</v>
      </c>
      <c r="K19" s="66" t="s">
        <v>20</v>
      </c>
      <c r="L19" s="57" t="s">
        <v>27</v>
      </c>
      <c r="M19" s="64" t="s">
        <v>13</v>
      </c>
    </row>
    <row r="20" spans="1:13" x14ac:dyDescent="0.35">
      <c r="A20" s="57">
        <v>15</v>
      </c>
      <c r="B20" s="58">
        <v>45934</v>
      </c>
      <c r="C20" s="58">
        <v>45935</v>
      </c>
      <c r="D20" s="59">
        <v>0.83333333333333337</v>
      </c>
      <c r="E20" s="59">
        <v>0.33333333333333331</v>
      </c>
      <c r="F20" s="65">
        <v>105000</v>
      </c>
      <c r="G20" s="65">
        <v>105000</v>
      </c>
      <c r="H20" s="61" t="s">
        <v>12</v>
      </c>
      <c r="I20" s="62">
        <v>987262541181</v>
      </c>
      <c r="J20" s="62" t="s">
        <v>130</v>
      </c>
      <c r="K20" s="66" t="s">
        <v>25</v>
      </c>
      <c r="L20" s="57" t="s">
        <v>27</v>
      </c>
      <c r="M20" s="64" t="s">
        <v>22</v>
      </c>
    </row>
    <row r="21" spans="1:13" x14ac:dyDescent="0.35">
      <c r="A21" s="57">
        <v>16</v>
      </c>
      <c r="B21" s="58">
        <v>45934</v>
      </c>
      <c r="C21" s="58">
        <v>45935</v>
      </c>
      <c r="D21" s="59">
        <v>0.83333333333333337</v>
      </c>
      <c r="E21" s="59">
        <v>0.33333333333333331</v>
      </c>
      <c r="F21" s="65">
        <v>491000</v>
      </c>
      <c r="G21" s="65">
        <v>491000</v>
      </c>
      <c r="H21" s="61" t="s">
        <v>12</v>
      </c>
      <c r="I21" s="62">
        <v>987262541181</v>
      </c>
      <c r="J21" s="62" t="s">
        <v>130</v>
      </c>
      <c r="K21" s="66" t="s">
        <v>24</v>
      </c>
      <c r="L21" s="57" t="s">
        <v>27</v>
      </c>
      <c r="M21" s="64" t="s">
        <v>13</v>
      </c>
    </row>
    <row r="22" spans="1:13" x14ac:dyDescent="0.35">
      <c r="A22" s="57">
        <v>17</v>
      </c>
      <c r="B22" s="58">
        <v>45935</v>
      </c>
      <c r="C22" s="58">
        <v>45935</v>
      </c>
      <c r="D22" s="59">
        <v>0.33333333333333331</v>
      </c>
      <c r="E22" s="59">
        <v>0.83333333333333337</v>
      </c>
      <c r="F22" s="65">
        <v>453000</v>
      </c>
      <c r="G22" s="65">
        <v>453000</v>
      </c>
      <c r="H22" s="61" t="s">
        <v>12</v>
      </c>
      <c r="I22" s="62">
        <v>987262541190</v>
      </c>
      <c r="J22" s="62" t="s">
        <v>131</v>
      </c>
      <c r="K22" s="66" t="s">
        <v>16</v>
      </c>
      <c r="L22" s="57" t="s">
        <v>27</v>
      </c>
      <c r="M22" s="64" t="s">
        <v>39</v>
      </c>
    </row>
    <row r="23" spans="1:13" x14ac:dyDescent="0.35">
      <c r="A23" s="57">
        <v>18</v>
      </c>
      <c r="B23" s="58">
        <v>45935</v>
      </c>
      <c r="C23" s="58">
        <v>45935</v>
      </c>
      <c r="D23" s="59">
        <v>0.33333333333333331</v>
      </c>
      <c r="E23" s="59">
        <v>0.83333333333333337</v>
      </c>
      <c r="F23" s="65">
        <v>1285000</v>
      </c>
      <c r="G23" s="65">
        <v>1285000</v>
      </c>
      <c r="H23" s="61" t="s">
        <v>12</v>
      </c>
      <c r="I23" s="62">
        <v>987262541190</v>
      </c>
      <c r="J23" s="62" t="s">
        <v>131</v>
      </c>
      <c r="K23" s="66" t="s">
        <v>15</v>
      </c>
      <c r="L23" s="57" t="s">
        <v>27</v>
      </c>
      <c r="M23" s="64" t="s">
        <v>13</v>
      </c>
    </row>
    <row r="24" spans="1:13" x14ac:dyDescent="0.35">
      <c r="A24" s="57">
        <v>19</v>
      </c>
      <c r="B24" s="58">
        <v>45935</v>
      </c>
      <c r="C24" s="58">
        <v>45936</v>
      </c>
      <c r="D24" s="59">
        <v>0.83333333333333337</v>
      </c>
      <c r="E24" s="59">
        <v>0.33333333333333331</v>
      </c>
      <c r="F24" s="65">
        <v>353000</v>
      </c>
      <c r="G24" s="65">
        <v>353000</v>
      </c>
      <c r="H24" s="61" t="s">
        <v>12</v>
      </c>
      <c r="I24" s="62">
        <v>987262541190</v>
      </c>
      <c r="J24" s="62" t="s">
        <v>131</v>
      </c>
      <c r="K24" s="66" t="s">
        <v>19</v>
      </c>
      <c r="L24" s="57" t="s">
        <v>27</v>
      </c>
      <c r="M24" s="64" t="s">
        <v>22</v>
      </c>
    </row>
    <row r="25" spans="1:13" x14ac:dyDescent="0.35">
      <c r="A25" s="57">
        <v>20</v>
      </c>
      <c r="B25" s="58">
        <v>45935</v>
      </c>
      <c r="C25" s="58">
        <v>45936</v>
      </c>
      <c r="D25" s="59">
        <v>0.83333333333333337</v>
      </c>
      <c r="E25" s="59">
        <v>0.33333333333333331</v>
      </c>
      <c r="F25" s="65">
        <v>480000</v>
      </c>
      <c r="G25" s="65">
        <v>480000</v>
      </c>
      <c r="H25" s="61" t="s">
        <v>12</v>
      </c>
      <c r="I25" s="62">
        <v>987262541190</v>
      </c>
      <c r="J25" s="62" t="s">
        <v>131</v>
      </c>
      <c r="K25" s="66" t="s">
        <v>20</v>
      </c>
      <c r="L25" s="57" t="s">
        <v>27</v>
      </c>
      <c r="M25" s="64" t="s">
        <v>13</v>
      </c>
    </row>
    <row r="26" spans="1:13" x14ac:dyDescent="0.35">
      <c r="A26" s="57">
        <v>21</v>
      </c>
      <c r="B26" s="58">
        <v>45936</v>
      </c>
      <c r="C26" s="58">
        <v>45936</v>
      </c>
      <c r="D26" s="59">
        <v>0.33333333333333331</v>
      </c>
      <c r="E26" s="59">
        <v>0.83333333333333337</v>
      </c>
      <c r="F26" s="65">
        <v>310000</v>
      </c>
      <c r="G26" s="65">
        <v>310000</v>
      </c>
      <c r="H26" s="61" t="s">
        <v>12</v>
      </c>
      <c r="I26" s="62">
        <v>987262557211</v>
      </c>
      <c r="J26" s="62">
        <v>925281373426622</v>
      </c>
      <c r="K26" s="66" t="s">
        <v>16</v>
      </c>
      <c r="L26" s="57" t="s">
        <v>27</v>
      </c>
      <c r="M26" s="64" t="s">
        <v>22</v>
      </c>
    </row>
    <row r="27" spans="1:13" x14ac:dyDescent="0.35">
      <c r="A27" s="57">
        <v>22</v>
      </c>
      <c r="B27" s="58">
        <v>45936</v>
      </c>
      <c r="C27" s="58">
        <v>45936</v>
      </c>
      <c r="D27" s="59">
        <v>0.33333333333333331</v>
      </c>
      <c r="E27" s="59">
        <v>0.83333333333333337</v>
      </c>
      <c r="F27" s="65">
        <v>1077000</v>
      </c>
      <c r="G27" s="65">
        <v>1077000</v>
      </c>
      <c r="H27" s="61" t="s">
        <v>12</v>
      </c>
      <c r="I27" s="62">
        <v>987262557211</v>
      </c>
      <c r="J27" s="62">
        <v>925281373426622</v>
      </c>
      <c r="K27" s="66" t="s">
        <v>15</v>
      </c>
      <c r="L27" s="57" t="s">
        <v>27</v>
      </c>
      <c r="M27" s="64" t="s">
        <v>13</v>
      </c>
    </row>
    <row r="28" spans="1:13" x14ac:dyDescent="0.35">
      <c r="A28" s="57">
        <v>23</v>
      </c>
      <c r="B28" s="58">
        <v>45936</v>
      </c>
      <c r="C28" s="58">
        <v>45936</v>
      </c>
      <c r="D28" s="59">
        <v>0.83333333333333337</v>
      </c>
      <c r="E28" s="59">
        <v>0.33333333333333331</v>
      </c>
      <c r="F28" s="65">
        <v>174000</v>
      </c>
      <c r="G28" s="65">
        <v>174000</v>
      </c>
      <c r="H28" s="61" t="s">
        <v>12</v>
      </c>
      <c r="I28" s="62">
        <v>987262557211</v>
      </c>
      <c r="J28" s="62">
        <v>925281373426622</v>
      </c>
      <c r="K28" s="66" t="s">
        <v>19</v>
      </c>
      <c r="L28" s="57" t="s">
        <v>27</v>
      </c>
      <c r="M28" s="64" t="s">
        <v>22</v>
      </c>
    </row>
    <row r="29" spans="1:13" x14ac:dyDescent="0.35">
      <c r="A29" s="57">
        <v>24</v>
      </c>
      <c r="B29" s="58">
        <v>45936</v>
      </c>
      <c r="C29" s="58">
        <v>45937</v>
      </c>
      <c r="D29" s="59">
        <v>0.83333333333333337</v>
      </c>
      <c r="E29" s="59">
        <v>0.33333333333333331</v>
      </c>
      <c r="F29" s="65">
        <v>527000</v>
      </c>
      <c r="G29" s="65">
        <v>527000</v>
      </c>
      <c r="H29" s="61" t="s">
        <v>12</v>
      </c>
      <c r="I29" s="62">
        <v>987262557211</v>
      </c>
      <c r="J29" s="62">
        <v>925281373426622</v>
      </c>
      <c r="K29" s="66" t="s">
        <v>20</v>
      </c>
      <c r="L29" s="57" t="s">
        <v>27</v>
      </c>
      <c r="M29" s="64" t="s">
        <v>13</v>
      </c>
    </row>
    <row r="30" spans="1:13" x14ac:dyDescent="0.35">
      <c r="A30" s="57">
        <v>25</v>
      </c>
      <c r="B30" s="58">
        <v>45937</v>
      </c>
      <c r="C30" s="58">
        <v>45937</v>
      </c>
      <c r="D30" s="59">
        <v>0.33333333333333331</v>
      </c>
      <c r="E30" s="59">
        <v>0.83333333333333337</v>
      </c>
      <c r="F30" s="65">
        <v>436000</v>
      </c>
      <c r="G30" s="65">
        <v>436000</v>
      </c>
      <c r="H30" s="61" t="s">
        <v>12</v>
      </c>
      <c r="I30" s="62">
        <v>987262563613</v>
      </c>
      <c r="J30" s="62">
        <v>925282373706769</v>
      </c>
      <c r="K30" s="66" t="s">
        <v>25</v>
      </c>
      <c r="L30" s="57" t="s">
        <v>27</v>
      </c>
      <c r="M30" s="64" t="s">
        <v>22</v>
      </c>
    </row>
    <row r="31" spans="1:13" x14ac:dyDescent="0.35">
      <c r="A31" s="57">
        <v>26</v>
      </c>
      <c r="B31" s="58">
        <v>45937</v>
      </c>
      <c r="C31" s="58">
        <v>45937</v>
      </c>
      <c r="D31" s="59">
        <v>0.33333333333333331</v>
      </c>
      <c r="E31" s="59">
        <v>0.83333333333333337</v>
      </c>
      <c r="F31" s="65">
        <v>887000</v>
      </c>
      <c r="G31" s="65">
        <v>887000</v>
      </c>
      <c r="H31" s="61" t="s">
        <v>12</v>
      </c>
      <c r="I31" s="62">
        <v>987262563613</v>
      </c>
      <c r="J31" s="62">
        <v>925282373706769</v>
      </c>
      <c r="K31" s="66" t="s">
        <v>24</v>
      </c>
      <c r="L31" s="57" t="s">
        <v>27</v>
      </c>
      <c r="M31" s="64" t="s">
        <v>13</v>
      </c>
    </row>
    <row r="32" spans="1:13" x14ac:dyDescent="0.35">
      <c r="A32" s="57">
        <v>27</v>
      </c>
      <c r="B32" s="58">
        <v>45937</v>
      </c>
      <c r="C32" s="58">
        <v>45938</v>
      </c>
      <c r="D32" s="59">
        <v>0.83333333333333337</v>
      </c>
      <c r="E32" s="59">
        <v>0.33333333333333331</v>
      </c>
      <c r="F32" s="65">
        <v>279000</v>
      </c>
      <c r="G32" s="65">
        <v>279000</v>
      </c>
      <c r="H32" s="61" t="s">
        <v>12</v>
      </c>
      <c r="I32" s="62">
        <v>987262563613</v>
      </c>
      <c r="J32" s="62">
        <v>925282373706769</v>
      </c>
      <c r="K32" s="66" t="s">
        <v>16</v>
      </c>
      <c r="L32" s="57" t="s">
        <v>27</v>
      </c>
      <c r="M32" s="64" t="s">
        <v>22</v>
      </c>
    </row>
    <row r="33" spans="1:13" x14ac:dyDescent="0.35">
      <c r="A33" s="57">
        <v>28</v>
      </c>
      <c r="B33" s="58">
        <v>45937</v>
      </c>
      <c r="C33" s="58">
        <v>45938</v>
      </c>
      <c r="D33" s="59">
        <v>0.83333333333333337</v>
      </c>
      <c r="E33" s="59">
        <v>0.33333333333333331</v>
      </c>
      <c r="F33" s="65">
        <v>346000</v>
      </c>
      <c r="G33" s="65">
        <v>346000</v>
      </c>
      <c r="H33" s="61" t="s">
        <v>12</v>
      </c>
      <c r="I33" s="62">
        <v>987262563613</v>
      </c>
      <c r="J33" s="62">
        <v>925282373706769</v>
      </c>
      <c r="K33" s="66" t="s">
        <v>15</v>
      </c>
      <c r="L33" s="57" t="s">
        <v>27</v>
      </c>
      <c r="M33" s="64" t="s">
        <v>13</v>
      </c>
    </row>
    <row r="34" spans="1:13" x14ac:dyDescent="0.35">
      <c r="A34" s="57">
        <v>29</v>
      </c>
      <c r="B34" s="58">
        <v>45938</v>
      </c>
      <c r="C34" s="58">
        <v>45938</v>
      </c>
      <c r="D34" s="59">
        <v>0.33333333333333331</v>
      </c>
      <c r="E34" s="59">
        <v>0.83333333333333337</v>
      </c>
      <c r="F34" s="65">
        <v>396000</v>
      </c>
      <c r="G34" s="65">
        <v>396000</v>
      </c>
      <c r="H34" s="61" t="s">
        <v>12</v>
      </c>
      <c r="I34" s="62">
        <v>987262650471</v>
      </c>
      <c r="J34" s="62">
        <v>925291376285993</v>
      </c>
      <c r="K34" s="66" t="s">
        <v>25</v>
      </c>
      <c r="L34" s="57" t="s">
        <v>27</v>
      </c>
      <c r="M34" s="64" t="s">
        <v>132</v>
      </c>
    </row>
    <row r="35" spans="1:13" x14ac:dyDescent="0.35">
      <c r="A35" s="57">
        <v>30</v>
      </c>
      <c r="B35" s="58">
        <v>45938</v>
      </c>
      <c r="C35" s="58">
        <v>45938</v>
      </c>
      <c r="D35" s="59">
        <v>0.33333333333333331</v>
      </c>
      <c r="E35" s="59">
        <v>0.83333333333333337</v>
      </c>
      <c r="F35" s="65">
        <v>834000</v>
      </c>
      <c r="G35" s="65">
        <v>834000</v>
      </c>
      <c r="H35" s="61" t="s">
        <v>12</v>
      </c>
      <c r="I35" s="62">
        <v>987262650471</v>
      </c>
      <c r="J35" s="62">
        <v>925291376285993</v>
      </c>
      <c r="K35" s="66" t="s">
        <v>24</v>
      </c>
      <c r="L35" s="57" t="s">
        <v>27</v>
      </c>
      <c r="M35" s="64" t="s">
        <v>133</v>
      </c>
    </row>
    <row r="36" spans="1:13" x14ac:dyDescent="0.35">
      <c r="A36" s="57">
        <v>31</v>
      </c>
      <c r="B36" s="58">
        <v>45938</v>
      </c>
      <c r="C36" s="58">
        <v>45939</v>
      </c>
      <c r="D36" s="59">
        <v>0.83333333333333337</v>
      </c>
      <c r="E36" s="59">
        <v>0.33333333333333331</v>
      </c>
      <c r="F36" s="65">
        <v>223000</v>
      </c>
      <c r="G36" s="65">
        <v>223000</v>
      </c>
      <c r="H36" s="61" t="s">
        <v>12</v>
      </c>
      <c r="I36" s="62">
        <v>987262650471</v>
      </c>
      <c r="J36" s="62">
        <v>925291376285993</v>
      </c>
      <c r="K36" s="66" t="s">
        <v>16</v>
      </c>
      <c r="L36" s="57" t="s">
        <v>27</v>
      </c>
      <c r="M36" s="64" t="s">
        <v>22</v>
      </c>
    </row>
    <row r="37" spans="1:13" x14ac:dyDescent="0.35">
      <c r="A37" s="57">
        <v>32</v>
      </c>
      <c r="B37" s="58">
        <v>45938</v>
      </c>
      <c r="C37" s="58">
        <v>45939</v>
      </c>
      <c r="D37" s="59">
        <v>0.83333333333333337</v>
      </c>
      <c r="E37" s="59">
        <v>0.33333333333333331</v>
      </c>
      <c r="F37" s="65">
        <v>369000</v>
      </c>
      <c r="G37" s="65">
        <v>369000</v>
      </c>
      <c r="H37" s="61" t="s">
        <v>12</v>
      </c>
      <c r="I37" s="62">
        <v>987262650471</v>
      </c>
      <c r="J37" s="62">
        <v>925291376285993</v>
      </c>
      <c r="K37" s="66" t="s">
        <v>15</v>
      </c>
      <c r="L37" s="57" t="s">
        <v>27</v>
      </c>
      <c r="M37" s="64" t="s">
        <v>13</v>
      </c>
    </row>
    <row r="38" spans="1:13" x14ac:dyDescent="0.35">
      <c r="A38" s="57">
        <v>33</v>
      </c>
      <c r="B38" s="58">
        <v>45939</v>
      </c>
      <c r="C38" s="58">
        <v>45939</v>
      </c>
      <c r="D38" s="59">
        <v>0.33333333333333331</v>
      </c>
      <c r="E38" s="59">
        <v>0.83333333333333337</v>
      </c>
      <c r="F38" s="65">
        <v>264000</v>
      </c>
      <c r="G38" s="65">
        <v>264000</v>
      </c>
      <c r="H38" s="61" t="s">
        <v>12</v>
      </c>
      <c r="I38" s="62">
        <v>987262671453</v>
      </c>
      <c r="J38" s="62">
        <v>925294377091772</v>
      </c>
      <c r="K38" s="66" t="s">
        <v>19</v>
      </c>
      <c r="L38" s="57" t="s">
        <v>27</v>
      </c>
      <c r="M38" s="64" t="s">
        <v>22</v>
      </c>
    </row>
    <row r="39" spans="1:13" x14ac:dyDescent="0.35">
      <c r="A39" s="57">
        <v>34</v>
      </c>
      <c r="B39" s="58">
        <v>45939</v>
      </c>
      <c r="C39" s="58">
        <v>45939</v>
      </c>
      <c r="D39" s="59">
        <v>0.33333333333333331</v>
      </c>
      <c r="E39" s="59">
        <v>0.83333333333333337</v>
      </c>
      <c r="F39" s="65">
        <v>938000</v>
      </c>
      <c r="G39" s="65">
        <v>938000</v>
      </c>
      <c r="H39" s="61" t="s">
        <v>12</v>
      </c>
      <c r="I39" s="62">
        <v>987262671453</v>
      </c>
      <c r="J39" s="62">
        <v>925294377091772</v>
      </c>
      <c r="K39" s="66" t="s">
        <v>20</v>
      </c>
      <c r="L39" s="57" t="s">
        <v>27</v>
      </c>
      <c r="M39" s="64" t="s">
        <v>13</v>
      </c>
    </row>
    <row r="40" spans="1:13" x14ac:dyDescent="0.35">
      <c r="A40" s="57">
        <v>35</v>
      </c>
      <c r="B40" s="58">
        <v>45939</v>
      </c>
      <c r="C40" s="58">
        <v>45940</v>
      </c>
      <c r="D40" s="59">
        <v>0.83333333333333337</v>
      </c>
      <c r="E40" s="59">
        <v>0.33333333333333331</v>
      </c>
      <c r="F40" s="65">
        <v>150000</v>
      </c>
      <c r="G40" s="65">
        <v>150000</v>
      </c>
      <c r="H40" s="61" t="s">
        <v>12</v>
      </c>
      <c r="I40" s="62">
        <v>987262671453</v>
      </c>
      <c r="J40" s="62">
        <v>925294377091772</v>
      </c>
      <c r="K40" s="66" t="s">
        <v>25</v>
      </c>
      <c r="L40" s="57" t="s">
        <v>27</v>
      </c>
      <c r="M40" s="64" t="s">
        <v>22</v>
      </c>
    </row>
    <row r="41" spans="1:13" x14ac:dyDescent="0.35">
      <c r="A41" s="57">
        <v>36</v>
      </c>
      <c r="B41" s="58">
        <v>45939</v>
      </c>
      <c r="C41" s="58">
        <v>45940</v>
      </c>
      <c r="D41" s="59">
        <v>0.83333333333333337</v>
      </c>
      <c r="E41" s="59">
        <v>0.33333333333333331</v>
      </c>
      <c r="F41" s="65">
        <v>326000</v>
      </c>
      <c r="G41" s="65">
        <v>326000</v>
      </c>
      <c r="H41" s="61" t="s">
        <v>12</v>
      </c>
      <c r="I41" s="62">
        <v>987262671453</v>
      </c>
      <c r="J41" s="62">
        <v>925294377091772</v>
      </c>
      <c r="K41" s="66" t="s">
        <v>24</v>
      </c>
      <c r="L41" s="57" t="s">
        <v>27</v>
      </c>
      <c r="M41" s="64" t="s">
        <v>13</v>
      </c>
    </row>
    <row r="42" spans="1:13" x14ac:dyDescent="0.35">
      <c r="A42" s="57">
        <v>37</v>
      </c>
      <c r="B42" s="58">
        <v>45940</v>
      </c>
      <c r="C42" s="58">
        <v>45940</v>
      </c>
      <c r="D42" s="59">
        <v>0.33333333333333331</v>
      </c>
      <c r="E42" s="59">
        <v>0.83333333333333337</v>
      </c>
      <c r="F42" s="65">
        <v>279000</v>
      </c>
      <c r="G42" s="65">
        <v>279000</v>
      </c>
      <c r="H42" s="61" t="s">
        <v>12</v>
      </c>
      <c r="I42" s="62">
        <v>987262671469</v>
      </c>
      <c r="J42" s="62">
        <v>925294377095837</v>
      </c>
      <c r="K42" s="66" t="s">
        <v>19</v>
      </c>
      <c r="L42" s="57" t="s">
        <v>27</v>
      </c>
      <c r="M42" s="64" t="s">
        <v>22</v>
      </c>
    </row>
    <row r="43" spans="1:13" x14ac:dyDescent="0.35">
      <c r="A43" s="57">
        <v>38</v>
      </c>
      <c r="B43" s="58">
        <v>45940</v>
      </c>
      <c r="C43" s="58">
        <v>45940</v>
      </c>
      <c r="D43" s="59">
        <v>0.33333333333333331</v>
      </c>
      <c r="E43" s="59">
        <v>0.83333333333333337</v>
      </c>
      <c r="F43" s="65">
        <v>1038000</v>
      </c>
      <c r="G43" s="65">
        <v>1038000</v>
      </c>
      <c r="H43" s="61" t="s">
        <v>12</v>
      </c>
      <c r="I43" s="62">
        <v>987262671469</v>
      </c>
      <c r="J43" s="62">
        <v>925294377095837</v>
      </c>
      <c r="K43" s="66" t="s">
        <v>20</v>
      </c>
      <c r="L43" s="57" t="s">
        <v>27</v>
      </c>
      <c r="M43" s="64" t="s">
        <v>13</v>
      </c>
    </row>
    <row r="44" spans="1:13" x14ac:dyDescent="0.35">
      <c r="A44" s="57">
        <v>39</v>
      </c>
      <c r="B44" s="58">
        <v>45940</v>
      </c>
      <c r="C44" s="58">
        <v>45941</v>
      </c>
      <c r="D44" s="59">
        <v>0.83333333333333337</v>
      </c>
      <c r="E44" s="59">
        <v>0.33333333333333331</v>
      </c>
      <c r="F44" s="65">
        <v>111000</v>
      </c>
      <c r="G44" s="65">
        <v>111000</v>
      </c>
      <c r="H44" s="61" t="s">
        <v>12</v>
      </c>
      <c r="I44" s="62">
        <v>987262671469</v>
      </c>
      <c r="J44" s="62">
        <v>925294377095837</v>
      </c>
      <c r="K44" s="66" t="s">
        <v>25</v>
      </c>
      <c r="L44" s="57" t="s">
        <v>27</v>
      </c>
      <c r="M44" s="64" t="s">
        <v>22</v>
      </c>
    </row>
    <row r="45" spans="1:13" x14ac:dyDescent="0.35">
      <c r="A45" s="57">
        <v>40</v>
      </c>
      <c r="B45" s="58">
        <v>45940</v>
      </c>
      <c r="C45" s="58">
        <v>45941</v>
      </c>
      <c r="D45" s="59">
        <v>0.83333333333333337</v>
      </c>
      <c r="E45" s="59">
        <v>0.33333333333333331</v>
      </c>
      <c r="F45" s="65">
        <v>364000</v>
      </c>
      <c r="G45" s="65">
        <v>364000</v>
      </c>
      <c r="H45" s="61" t="s">
        <v>12</v>
      </c>
      <c r="I45" s="62">
        <v>987262671469</v>
      </c>
      <c r="J45" s="62">
        <v>925294377095837</v>
      </c>
      <c r="K45" s="66" t="s">
        <v>24</v>
      </c>
      <c r="L45" s="57" t="s">
        <v>27</v>
      </c>
      <c r="M45" s="64" t="s">
        <v>13</v>
      </c>
    </row>
    <row r="46" spans="1:13" x14ac:dyDescent="0.35">
      <c r="A46" s="57">
        <v>41</v>
      </c>
      <c r="B46" s="58">
        <v>45941</v>
      </c>
      <c r="C46" s="58">
        <v>45941</v>
      </c>
      <c r="D46" s="59">
        <v>0.33333333333333331</v>
      </c>
      <c r="E46" s="59">
        <v>0.83333333333333337</v>
      </c>
      <c r="F46" s="65">
        <v>361000</v>
      </c>
      <c r="G46" s="65">
        <v>361000</v>
      </c>
      <c r="H46" s="61" t="s">
        <v>12</v>
      </c>
      <c r="I46" s="62">
        <v>987262671471</v>
      </c>
      <c r="J46" s="62">
        <v>925294377097338</v>
      </c>
      <c r="K46" s="66" t="s">
        <v>16</v>
      </c>
      <c r="L46" s="57" t="s">
        <v>27</v>
      </c>
      <c r="M46" s="64" t="s">
        <v>22</v>
      </c>
    </row>
    <row r="47" spans="1:13" x14ac:dyDescent="0.35">
      <c r="A47" s="57">
        <v>42</v>
      </c>
      <c r="B47" s="58">
        <v>45941</v>
      </c>
      <c r="C47" s="58">
        <v>45941</v>
      </c>
      <c r="D47" s="59">
        <v>0.33333333333333331</v>
      </c>
      <c r="E47" s="59">
        <v>0.83333333333333337</v>
      </c>
      <c r="F47" s="65">
        <v>1021000</v>
      </c>
      <c r="G47" s="65">
        <v>1021000</v>
      </c>
      <c r="H47" s="61" t="s">
        <v>12</v>
      </c>
      <c r="I47" s="62">
        <v>987262671471</v>
      </c>
      <c r="J47" s="62">
        <v>925294377097338</v>
      </c>
      <c r="K47" s="66" t="s">
        <v>15</v>
      </c>
      <c r="L47" s="57" t="s">
        <v>27</v>
      </c>
      <c r="M47" s="64" t="s">
        <v>13</v>
      </c>
    </row>
    <row r="48" spans="1:13" x14ac:dyDescent="0.35">
      <c r="A48" s="57">
        <v>43</v>
      </c>
      <c r="B48" s="58">
        <v>45941</v>
      </c>
      <c r="C48" s="58">
        <v>45942</v>
      </c>
      <c r="D48" s="59">
        <v>0.83333333333333337</v>
      </c>
      <c r="E48" s="59">
        <v>0.33333333333333331</v>
      </c>
      <c r="F48" s="65">
        <v>95000</v>
      </c>
      <c r="G48" s="65">
        <v>95000</v>
      </c>
      <c r="H48" s="61" t="s">
        <v>12</v>
      </c>
      <c r="I48" s="62">
        <v>987262671471</v>
      </c>
      <c r="J48" s="62">
        <v>925294377097338</v>
      </c>
      <c r="K48" s="66" t="s">
        <v>19</v>
      </c>
      <c r="L48" s="57" t="s">
        <v>27</v>
      </c>
      <c r="M48" s="64" t="s">
        <v>22</v>
      </c>
    </row>
    <row r="49" spans="1:13" x14ac:dyDescent="0.35">
      <c r="A49" s="57">
        <v>44</v>
      </c>
      <c r="B49" s="58">
        <v>45941</v>
      </c>
      <c r="C49" s="58">
        <v>45942</v>
      </c>
      <c r="D49" s="59">
        <v>0.83333333333333337</v>
      </c>
      <c r="E49" s="59">
        <v>0.33333333333333331</v>
      </c>
      <c r="F49" s="65">
        <v>412000</v>
      </c>
      <c r="G49" s="65">
        <v>412000</v>
      </c>
      <c r="H49" s="61" t="s">
        <v>12</v>
      </c>
      <c r="I49" s="62">
        <v>987262671471</v>
      </c>
      <c r="J49" s="62">
        <v>925294377097338</v>
      </c>
      <c r="K49" s="66" t="s">
        <v>20</v>
      </c>
      <c r="L49" s="57" t="s">
        <v>27</v>
      </c>
      <c r="M49" s="64" t="s">
        <v>13</v>
      </c>
    </row>
    <row r="50" spans="1:13" x14ac:dyDescent="0.35">
      <c r="A50" s="57">
        <v>45</v>
      </c>
      <c r="B50" s="58">
        <v>45942</v>
      </c>
      <c r="C50" s="58">
        <v>45942</v>
      </c>
      <c r="D50" s="59">
        <v>0.33333333333333331</v>
      </c>
      <c r="E50" s="59">
        <v>0.83333333333333337</v>
      </c>
      <c r="F50" s="65">
        <v>456000</v>
      </c>
      <c r="G50" s="65">
        <v>456000</v>
      </c>
      <c r="H50" s="61" t="s">
        <v>12</v>
      </c>
      <c r="I50" s="62">
        <v>987262671477</v>
      </c>
      <c r="J50" s="62">
        <v>925294377099203</v>
      </c>
      <c r="K50" s="66" t="s">
        <v>16</v>
      </c>
      <c r="L50" s="57" t="s">
        <v>27</v>
      </c>
      <c r="M50" s="64" t="s">
        <v>22</v>
      </c>
    </row>
    <row r="51" spans="1:13" x14ac:dyDescent="0.35">
      <c r="A51" s="57">
        <v>46</v>
      </c>
      <c r="B51" s="58">
        <v>45942</v>
      </c>
      <c r="C51" s="58">
        <v>45942</v>
      </c>
      <c r="D51" s="59">
        <v>0.33333333333333331</v>
      </c>
      <c r="E51" s="59">
        <v>0.83333333333333337</v>
      </c>
      <c r="F51" s="65">
        <v>1247000</v>
      </c>
      <c r="G51" s="65">
        <v>1247000</v>
      </c>
      <c r="H51" s="61" t="s">
        <v>12</v>
      </c>
      <c r="I51" s="62">
        <v>987262671477</v>
      </c>
      <c r="J51" s="62">
        <v>925294377099203</v>
      </c>
      <c r="K51" s="66" t="s">
        <v>15</v>
      </c>
      <c r="L51" s="57" t="s">
        <v>27</v>
      </c>
      <c r="M51" s="64" t="s">
        <v>13</v>
      </c>
    </row>
    <row r="52" spans="1:13" x14ac:dyDescent="0.35">
      <c r="A52" s="57">
        <v>47</v>
      </c>
      <c r="B52" s="58">
        <v>45942</v>
      </c>
      <c r="C52" s="58">
        <v>45943</v>
      </c>
      <c r="D52" s="59">
        <v>0.83333333333333337</v>
      </c>
      <c r="E52" s="59">
        <v>0.33333333333333331</v>
      </c>
      <c r="F52" s="65">
        <v>303000</v>
      </c>
      <c r="G52" s="65">
        <v>303000</v>
      </c>
      <c r="H52" s="61" t="s">
        <v>12</v>
      </c>
      <c r="I52" s="62">
        <v>987262671477</v>
      </c>
      <c r="J52" s="62">
        <v>925294377099203</v>
      </c>
      <c r="K52" s="66" t="s">
        <v>19</v>
      </c>
      <c r="L52" s="57" t="s">
        <v>27</v>
      </c>
      <c r="M52" s="64" t="s">
        <v>22</v>
      </c>
    </row>
    <row r="53" spans="1:13" x14ac:dyDescent="0.35">
      <c r="A53" s="57">
        <v>48</v>
      </c>
      <c r="B53" s="58">
        <v>45942</v>
      </c>
      <c r="C53" s="58">
        <v>45943</v>
      </c>
      <c r="D53" s="59">
        <v>0.83333333333333337</v>
      </c>
      <c r="E53" s="59">
        <v>0.33333333333333331</v>
      </c>
      <c r="F53" s="65">
        <v>480000</v>
      </c>
      <c r="G53" s="65">
        <v>480000</v>
      </c>
      <c r="H53" s="61" t="s">
        <v>12</v>
      </c>
      <c r="I53" s="62">
        <v>987262671477</v>
      </c>
      <c r="J53" s="62">
        <v>925294377099203</v>
      </c>
      <c r="K53" s="66" t="s">
        <v>20</v>
      </c>
      <c r="L53" s="57" t="s">
        <v>27</v>
      </c>
      <c r="M53" s="64" t="s">
        <v>13</v>
      </c>
    </row>
    <row r="54" spans="1:13" x14ac:dyDescent="0.35">
      <c r="A54" s="57">
        <v>49</v>
      </c>
      <c r="B54" s="58">
        <v>45943</v>
      </c>
      <c r="C54" s="58">
        <v>45943</v>
      </c>
      <c r="D54" s="59">
        <v>0.33333333333333331</v>
      </c>
      <c r="E54" s="59">
        <v>0.83333333333333337</v>
      </c>
      <c r="F54" s="65">
        <v>355000</v>
      </c>
      <c r="G54" s="65">
        <v>355000</v>
      </c>
      <c r="H54" s="61" t="s">
        <v>12</v>
      </c>
      <c r="I54" s="62">
        <v>987262671479</v>
      </c>
      <c r="J54" s="62">
        <v>925294377100832</v>
      </c>
      <c r="K54" s="66" t="s">
        <v>25</v>
      </c>
      <c r="L54" s="57" t="s">
        <v>27</v>
      </c>
      <c r="M54" s="64" t="s">
        <v>22</v>
      </c>
    </row>
    <row r="55" spans="1:13" x14ac:dyDescent="0.35">
      <c r="A55" s="57">
        <v>50</v>
      </c>
      <c r="B55" s="58">
        <v>45943</v>
      </c>
      <c r="C55" s="58">
        <v>45943</v>
      </c>
      <c r="D55" s="59">
        <v>0.33333333333333331</v>
      </c>
      <c r="E55" s="59">
        <v>0.83333333333333337</v>
      </c>
      <c r="F55" s="65">
        <v>985000</v>
      </c>
      <c r="G55" s="65">
        <v>985000</v>
      </c>
      <c r="H55" s="61" t="s">
        <v>12</v>
      </c>
      <c r="I55" s="62">
        <v>987262671479</v>
      </c>
      <c r="J55" s="62">
        <v>925294377100832</v>
      </c>
      <c r="K55" s="66" t="s">
        <v>24</v>
      </c>
      <c r="L55" s="57" t="s">
        <v>27</v>
      </c>
      <c r="M55" s="64" t="s">
        <v>13</v>
      </c>
    </row>
    <row r="56" spans="1:13" x14ac:dyDescent="0.35">
      <c r="A56" s="57">
        <v>51</v>
      </c>
      <c r="B56" s="58">
        <v>45943</v>
      </c>
      <c r="C56" s="58">
        <v>45944</v>
      </c>
      <c r="D56" s="59">
        <v>0.83333333333333337</v>
      </c>
      <c r="E56" s="59">
        <v>0.33333333333333331</v>
      </c>
      <c r="F56" s="65">
        <v>143000</v>
      </c>
      <c r="G56" s="65">
        <v>143000</v>
      </c>
      <c r="H56" s="61" t="s">
        <v>12</v>
      </c>
      <c r="I56" s="62">
        <v>987262671479</v>
      </c>
      <c r="J56" s="62">
        <v>925294377100832</v>
      </c>
      <c r="K56" s="66" t="s">
        <v>16</v>
      </c>
      <c r="L56" s="57" t="s">
        <v>27</v>
      </c>
      <c r="M56" s="64" t="s">
        <v>22</v>
      </c>
    </row>
    <row r="57" spans="1:13" x14ac:dyDescent="0.35">
      <c r="A57" s="57">
        <v>52</v>
      </c>
      <c r="B57" s="58">
        <v>45943</v>
      </c>
      <c r="C57" s="58">
        <v>45944</v>
      </c>
      <c r="D57" s="59">
        <v>0.83333333333333337</v>
      </c>
      <c r="E57" s="59">
        <v>0.33333333333333331</v>
      </c>
      <c r="F57" s="65">
        <v>420000</v>
      </c>
      <c r="G57" s="65">
        <v>420000</v>
      </c>
      <c r="H57" s="61" t="s">
        <v>12</v>
      </c>
      <c r="I57" s="62">
        <v>987262671479</v>
      </c>
      <c r="J57" s="62">
        <v>925294377100832</v>
      </c>
      <c r="K57" s="66" t="s">
        <v>15</v>
      </c>
      <c r="L57" s="57" t="s">
        <v>27</v>
      </c>
      <c r="M57" s="64" t="s">
        <v>13</v>
      </c>
    </row>
    <row r="58" spans="1:13" x14ac:dyDescent="0.35">
      <c r="A58" s="57">
        <v>53</v>
      </c>
      <c r="B58" s="58">
        <v>45944</v>
      </c>
      <c r="C58" s="58">
        <v>45944</v>
      </c>
      <c r="D58" s="59">
        <v>0.33333333333333331</v>
      </c>
      <c r="E58" s="59">
        <v>0.83333333333333337</v>
      </c>
      <c r="F58" s="65">
        <v>256000</v>
      </c>
      <c r="G58" s="65">
        <v>256000</v>
      </c>
      <c r="H58" s="61" t="s">
        <v>12</v>
      </c>
      <c r="I58" s="62">
        <v>987262641624</v>
      </c>
      <c r="J58" s="62">
        <v>925289375769158</v>
      </c>
      <c r="K58" s="66" t="s">
        <v>25</v>
      </c>
      <c r="L58" s="57" t="s">
        <v>27</v>
      </c>
      <c r="M58" s="64" t="s">
        <v>22</v>
      </c>
    </row>
    <row r="59" spans="1:13" x14ac:dyDescent="0.35">
      <c r="A59" s="57">
        <v>54</v>
      </c>
      <c r="B59" s="58">
        <v>45944</v>
      </c>
      <c r="C59" s="58">
        <v>45944</v>
      </c>
      <c r="D59" s="59">
        <v>0.33333333333333331</v>
      </c>
      <c r="E59" s="59">
        <v>0.83333333333333337</v>
      </c>
      <c r="F59" s="65">
        <v>1054000</v>
      </c>
      <c r="G59" s="65">
        <v>1054000</v>
      </c>
      <c r="H59" s="61" t="s">
        <v>12</v>
      </c>
      <c r="I59" s="62">
        <v>987262641624</v>
      </c>
      <c r="J59" s="62">
        <v>925289375769158</v>
      </c>
      <c r="K59" s="66" t="s">
        <v>24</v>
      </c>
      <c r="L59" s="57" t="s">
        <v>27</v>
      </c>
      <c r="M59" s="64" t="s">
        <v>13</v>
      </c>
    </row>
    <row r="60" spans="1:13" x14ac:dyDescent="0.35">
      <c r="A60" s="57">
        <v>55</v>
      </c>
      <c r="B60" s="58">
        <v>45944</v>
      </c>
      <c r="C60" s="58">
        <v>45945</v>
      </c>
      <c r="D60" s="59">
        <v>0.83333333333333337</v>
      </c>
      <c r="E60" s="59">
        <v>0.33333333333333331</v>
      </c>
      <c r="F60" s="65">
        <v>309000</v>
      </c>
      <c r="G60" s="65">
        <v>309000</v>
      </c>
      <c r="H60" s="61" t="s">
        <v>12</v>
      </c>
      <c r="I60" s="62">
        <v>987262641624</v>
      </c>
      <c r="J60" s="62">
        <v>925289375769158</v>
      </c>
      <c r="K60" s="66" t="s">
        <v>16</v>
      </c>
      <c r="L60" s="57" t="s">
        <v>27</v>
      </c>
      <c r="M60" s="64" t="s">
        <v>22</v>
      </c>
    </row>
    <row r="61" spans="1:13" x14ac:dyDescent="0.35">
      <c r="A61" s="57">
        <v>56</v>
      </c>
      <c r="B61" s="58">
        <v>45944</v>
      </c>
      <c r="C61" s="58">
        <v>45945</v>
      </c>
      <c r="D61" s="59">
        <v>0.83333333333333337</v>
      </c>
      <c r="E61" s="59">
        <v>0.33333333333333331</v>
      </c>
      <c r="F61" s="65">
        <v>550000</v>
      </c>
      <c r="G61" s="65">
        <v>550000</v>
      </c>
      <c r="H61" s="61" t="s">
        <v>12</v>
      </c>
      <c r="I61" s="62">
        <v>987262641624</v>
      </c>
      <c r="J61" s="62">
        <v>925289375769158</v>
      </c>
      <c r="K61" s="66" t="s">
        <v>15</v>
      </c>
      <c r="L61" s="57" t="s">
        <v>27</v>
      </c>
      <c r="M61" s="64" t="s">
        <v>13</v>
      </c>
    </row>
    <row r="62" spans="1:13" x14ac:dyDescent="0.35">
      <c r="A62" s="57">
        <v>57</v>
      </c>
      <c r="B62" s="58">
        <v>45945</v>
      </c>
      <c r="C62" s="58">
        <v>45945</v>
      </c>
      <c r="D62" s="59">
        <v>0.33333333333333331</v>
      </c>
      <c r="E62" s="59">
        <v>0.83333333333333337</v>
      </c>
      <c r="F62" s="65">
        <v>299000</v>
      </c>
      <c r="G62" s="65">
        <v>299000</v>
      </c>
      <c r="H62" s="61" t="s">
        <v>12</v>
      </c>
      <c r="I62" s="62">
        <v>987262630371</v>
      </c>
      <c r="J62" s="62">
        <v>925289375733506</v>
      </c>
      <c r="K62" s="66" t="s">
        <v>19</v>
      </c>
      <c r="L62" s="57" t="s">
        <v>27</v>
      </c>
      <c r="M62" s="64" t="s">
        <v>22</v>
      </c>
    </row>
    <row r="63" spans="1:13" x14ac:dyDescent="0.35">
      <c r="A63" s="57">
        <v>58</v>
      </c>
      <c r="B63" s="58">
        <v>45945</v>
      </c>
      <c r="C63" s="58">
        <v>45945</v>
      </c>
      <c r="D63" s="59">
        <v>0.33333333333333331</v>
      </c>
      <c r="E63" s="59">
        <v>0.83333333333333337</v>
      </c>
      <c r="F63" s="65">
        <v>903000</v>
      </c>
      <c r="G63" s="65">
        <v>903000</v>
      </c>
      <c r="H63" s="61" t="s">
        <v>12</v>
      </c>
      <c r="I63" s="62">
        <v>987262630371</v>
      </c>
      <c r="J63" s="62">
        <v>925289375733506</v>
      </c>
      <c r="K63" s="66" t="s">
        <v>20</v>
      </c>
      <c r="L63" s="57" t="s">
        <v>27</v>
      </c>
      <c r="M63" s="64" t="s">
        <v>13</v>
      </c>
    </row>
    <row r="64" spans="1:13" x14ac:dyDescent="0.35">
      <c r="A64" s="57">
        <v>59</v>
      </c>
      <c r="B64" s="58">
        <v>45945</v>
      </c>
      <c r="C64" s="58">
        <v>45946</v>
      </c>
      <c r="D64" s="59">
        <v>0.83333333333333337</v>
      </c>
      <c r="E64" s="59">
        <v>0.33333333333333331</v>
      </c>
      <c r="F64" s="65">
        <v>104000</v>
      </c>
      <c r="G64" s="65">
        <v>104000</v>
      </c>
      <c r="H64" s="61" t="s">
        <v>12</v>
      </c>
      <c r="I64" s="62">
        <v>987262630371</v>
      </c>
      <c r="J64" s="62">
        <v>925289375733506</v>
      </c>
      <c r="K64" s="66" t="s">
        <v>25</v>
      </c>
      <c r="L64" s="57" t="s">
        <v>27</v>
      </c>
      <c r="M64" s="64" t="s">
        <v>22</v>
      </c>
    </row>
    <row r="65" spans="1:13" x14ac:dyDescent="0.35">
      <c r="A65" s="57">
        <v>60</v>
      </c>
      <c r="B65" s="58">
        <v>45945</v>
      </c>
      <c r="C65" s="58">
        <v>45946</v>
      </c>
      <c r="D65" s="59">
        <v>0.83333333333333337</v>
      </c>
      <c r="E65" s="59">
        <v>0.33333333333333331</v>
      </c>
      <c r="F65" s="65">
        <v>600000</v>
      </c>
      <c r="G65" s="65">
        <v>600000</v>
      </c>
      <c r="H65" s="61" t="s">
        <v>12</v>
      </c>
      <c r="I65" s="62">
        <v>987262630371</v>
      </c>
      <c r="J65" s="62">
        <v>925289375733506</v>
      </c>
      <c r="K65" s="66" t="s">
        <v>24</v>
      </c>
      <c r="L65" s="57" t="s">
        <v>27</v>
      </c>
      <c r="M65" s="64" t="s">
        <v>13</v>
      </c>
    </row>
    <row r="66" spans="1:13" x14ac:dyDescent="0.35">
      <c r="A66" s="57">
        <v>61</v>
      </c>
      <c r="B66" s="58">
        <v>45946</v>
      </c>
      <c r="C66" s="58">
        <v>45946</v>
      </c>
      <c r="D66" s="59">
        <v>0.33333333333333331</v>
      </c>
      <c r="E66" s="59">
        <v>0.83333333333333337</v>
      </c>
      <c r="F66" s="65">
        <v>335000</v>
      </c>
      <c r="G66" s="65">
        <v>335000</v>
      </c>
      <c r="H66" s="61" t="s">
        <v>12</v>
      </c>
      <c r="I66" s="62">
        <v>987262650471</v>
      </c>
      <c r="J66" s="62">
        <v>925291376285993</v>
      </c>
      <c r="K66" s="66" t="s">
        <v>19</v>
      </c>
      <c r="L66" s="57" t="s">
        <v>27</v>
      </c>
      <c r="M66" s="64" t="s">
        <v>22</v>
      </c>
    </row>
    <row r="67" spans="1:13" x14ac:dyDescent="0.35">
      <c r="A67" s="57">
        <v>62</v>
      </c>
      <c r="B67" s="58">
        <v>45946</v>
      </c>
      <c r="C67" s="58">
        <v>45946</v>
      </c>
      <c r="D67" s="59">
        <v>0.33333333333333331</v>
      </c>
      <c r="E67" s="59">
        <v>0.83333333333333337</v>
      </c>
      <c r="F67" s="65">
        <v>879000</v>
      </c>
      <c r="G67" s="65">
        <v>879000</v>
      </c>
      <c r="H67" s="61" t="s">
        <v>12</v>
      </c>
      <c r="I67" s="62">
        <v>987262650471</v>
      </c>
      <c r="J67" s="62">
        <v>925291376285993</v>
      </c>
      <c r="K67" s="66" t="s">
        <v>20</v>
      </c>
      <c r="L67" s="57" t="s">
        <v>27</v>
      </c>
      <c r="M67" s="64" t="s">
        <v>13</v>
      </c>
    </row>
    <row r="68" spans="1:13" x14ac:dyDescent="0.35">
      <c r="A68" s="57">
        <v>63</v>
      </c>
      <c r="B68" s="58">
        <v>45946</v>
      </c>
      <c r="C68" s="58">
        <v>45947</v>
      </c>
      <c r="D68" s="59">
        <v>0.83333333333333337</v>
      </c>
      <c r="E68" s="59">
        <v>0.33333333333333331</v>
      </c>
      <c r="F68" s="65">
        <v>184000</v>
      </c>
      <c r="G68" s="65">
        <v>184000</v>
      </c>
      <c r="H68" s="61" t="s">
        <v>12</v>
      </c>
      <c r="I68" s="62">
        <v>987262650471</v>
      </c>
      <c r="J68" s="62">
        <v>925291376285993</v>
      </c>
      <c r="K68" s="66" t="s">
        <v>25</v>
      </c>
      <c r="L68" s="57" t="s">
        <v>27</v>
      </c>
      <c r="M68" s="64" t="s">
        <v>22</v>
      </c>
    </row>
    <row r="69" spans="1:13" x14ac:dyDescent="0.35">
      <c r="A69" s="57">
        <v>64</v>
      </c>
      <c r="B69" s="58">
        <v>45946</v>
      </c>
      <c r="C69" s="58">
        <v>45947</v>
      </c>
      <c r="D69" s="59">
        <v>0.83333333333333337</v>
      </c>
      <c r="E69" s="59">
        <v>0.33333333333333331</v>
      </c>
      <c r="F69" s="65">
        <v>631000</v>
      </c>
      <c r="G69" s="65">
        <v>631000</v>
      </c>
      <c r="H69" s="61" t="s">
        <v>12</v>
      </c>
      <c r="I69" s="62">
        <v>987262650471</v>
      </c>
      <c r="J69" s="62">
        <v>925291376285993</v>
      </c>
      <c r="K69" s="66" t="s">
        <v>24</v>
      </c>
      <c r="L69" s="57" t="s">
        <v>27</v>
      </c>
      <c r="M69" s="64" t="s">
        <v>13</v>
      </c>
    </row>
    <row r="70" spans="1:13" x14ac:dyDescent="0.35">
      <c r="A70" s="57">
        <v>65</v>
      </c>
      <c r="B70" s="58">
        <v>45947</v>
      </c>
      <c r="C70" s="58">
        <v>45947</v>
      </c>
      <c r="D70" s="59">
        <v>0.33333333333333331</v>
      </c>
      <c r="E70" s="59">
        <v>0.83333333333333337</v>
      </c>
      <c r="F70" s="65">
        <v>289000</v>
      </c>
      <c r="G70" s="65">
        <v>289000</v>
      </c>
      <c r="H70" s="61" t="s">
        <v>12</v>
      </c>
      <c r="I70" s="62">
        <v>987262671489</v>
      </c>
      <c r="J70" s="62">
        <v>925294377096923</v>
      </c>
      <c r="K70" s="66" t="s">
        <v>16</v>
      </c>
      <c r="L70" s="57" t="s">
        <v>27</v>
      </c>
      <c r="M70" s="64" t="s">
        <v>22</v>
      </c>
    </row>
    <row r="71" spans="1:13" x14ac:dyDescent="0.35">
      <c r="A71" s="57">
        <v>66</v>
      </c>
      <c r="B71" s="58">
        <v>45947</v>
      </c>
      <c r="C71" s="58">
        <v>45947</v>
      </c>
      <c r="D71" s="59">
        <v>0.33333333333333331</v>
      </c>
      <c r="E71" s="59">
        <v>0.83333333333333337</v>
      </c>
      <c r="F71" s="65">
        <v>1171000</v>
      </c>
      <c r="G71" s="65">
        <v>1171000</v>
      </c>
      <c r="H71" s="61" t="s">
        <v>12</v>
      </c>
      <c r="I71" s="62">
        <v>987262671489</v>
      </c>
      <c r="J71" s="62">
        <v>925294377096923</v>
      </c>
      <c r="K71" s="66" t="s">
        <v>15</v>
      </c>
      <c r="L71" s="57" t="s">
        <v>27</v>
      </c>
      <c r="M71" s="64" t="s">
        <v>13</v>
      </c>
    </row>
    <row r="72" spans="1:13" x14ac:dyDescent="0.35">
      <c r="A72" s="57">
        <v>67</v>
      </c>
      <c r="B72" s="58">
        <v>45947</v>
      </c>
      <c r="C72" s="58">
        <v>45948</v>
      </c>
      <c r="D72" s="59">
        <v>0.83333333333333337</v>
      </c>
      <c r="E72" s="59">
        <v>0.33333333333333331</v>
      </c>
      <c r="F72" s="65">
        <v>128000</v>
      </c>
      <c r="G72" s="65">
        <v>128000</v>
      </c>
      <c r="H72" s="61" t="s">
        <v>12</v>
      </c>
      <c r="I72" s="62">
        <v>987262671489</v>
      </c>
      <c r="J72" s="62">
        <v>925294377096923</v>
      </c>
      <c r="K72" s="66" t="s">
        <v>19</v>
      </c>
      <c r="L72" s="57" t="s">
        <v>27</v>
      </c>
      <c r="M72" s="64" t="s">
        <v>22</v>
      </c>
    </row>
    <row r="73" spans="1:13" x14ac:dyDescent="0.35">
      <c r="A73" s="57">
        <v>68</v>
      </c>
      <c r="B73" s="58">
        <v>45947</v>
      </c>
      <c r="C73" s="58">
        <v>45948</v>
      </c>
      <c r="D73" s="59">
        <v>0.83333333333333337</v>
      </c>
      <c r="E73" s="59">
        <v>0.33333333333333331</v>
      </c>
      <c r="F73" s="65">
        <v>440000</v>
      </c>
      <c r="G73" s="65">
        <v>440000</v>
      </c>
      <c r="H73" s="61" t="s">
        <v>12</v>
      </c>
      <c r="I73" s="62">
        <v>987262671489</v>
      </c>
      <c r="J73" s="62">
        <v>925294377096923</v>
      </c>
      <c r="K73" s="66" t="s">
        <v>20</v>
      </c>
      <c r="L73" s="57" t="s">
        <v>27</v>
      </c>
      <c r="M73" s="64" t="s">
        <v>13</v>
      </c>
    </row>
    <row r="74" spans="1:13" x14ac:dyDescent="0.35">
      <c r="A74" s="57">
        <v>69</v>
      </c>
      <c r="B74" s="58">
        <v>45948</v>
      </c>
      <c r="C74" s="58">
        <v>45948</v>
      </c>
      <c r="D74" s="59">
        <v>0.33333333333333331</v>
      </c>
      <c r="E74" s="59">
        <v>0.83333333333333337</v>
      </c>
      <c r="F74" s="65">
        <v>246000</v>
      </c>
      <c r="G74" s="65">
        <v>246000</v>
      </c>
      <c r="H74" s="61" t="s">
        <v>12</v>
      </c>
      <c r="I74" s="62">
        <v>987262671495</v>
      </c>
      <c r="J74" s="62">
        <v>925294377100122</v>
      </c>
      <c r="K74" s="66" t="s">
        <v>16</v>
      </c>
      <c r="L74" s="57" t="s">
        <v>27</v>
      </c>
      <c r="M74" s="64" t="s">
        <v>22</v>
      </c>
    </row>
    <row r="75" spans="1:13" x14ac:dyDescent="0.35">
      <c r="A75" s="57">
        <v>70</v>
      </c>
      <c r="B75" s="58">
        <v>45948</v>
      </c>
      <c r="C75" s="58">
        <v>45948</v>
      </c>
      <c r="D75" s="59">
        <v>0.33333333333333331</v>
      </c>
      <c r="E75" s="59">
        <v>0.83333333333333337</v>
      </c>
      <c r="F75" s="65">
        <v>951000</v>
      </c>
      <c r="G75" s="65">
        <v>951000</v>
      </c>
      <c r="H75" s="61" t="s">
        <v>12</v>
      </c>
      <c r="I75" s="62">
        <v>987262671495</v>
      </c>
      <c r="J75" s="62">
        <v>925294377100122</v>
      </c>
      <c r="K75" s="66" t="s">
        <v>15</v>
      </c>
      <c r="L75" s="57" t="s">
        <v>27</v>
      </c>
      <c r="M75" s="64" t="s">
        <v>13</v>
      </c>
    </row>
    <row r="76" spans="1:13" x14ac:dyDescent="0.35">
      <c r="A76" s="57">
        <v>71</v>
      </c>
      <c r="B76" s="58">
        <v>45948</v>
      </c>
      <c r="C76" s="58">
        <v>45949</v>
      </c>
      <c r="D76" s="59">
        <v>0.83333333333333337</v>
      </c>
      <c r="E76" s="59">
        <v>0.33333333333333331</v>
      </c>
      <c r="F76" s="65">
        <v>222200</v>
      </c>
      <c r="G76" s="65">
        <v>222200</v>
      </c>
      <c r="H76" s="61" t="s">
        <v>12</v>
      </c>
      <c r="I76" s="62">
        <v>987262671495</v>
      </c>
      <c r="J76" s="62">
        <v>925294377100122</v>
      </c>
      <c r="K76" s="66" t="s">
        <v>19</v>
      </c>
      <c r="L76" s="57" t="s">
        <v>27</v>
      </c>
      <c r="M76" s="64" t="s">
        <v>22</v>
      </c>
    </row>
    <row r="77" spans="1:13" x14ac:dyDescent="0.35">
      <c r="A77" s="57">
        <v>72</v>
      </c>
      <c r="B77" s="58">
        <v>45948</v>
      </c>
      <c r="C77" s="58">
        <v>45949</v>
      </c>
      <c r="D77" s="59">
        <v>0.83333333333333337</v>
      </c>
      <c r="E77" s="59">
        <v>0.33333333333333331</v>
      </c>
      <c r="F77" s="65">
        <v>573000</v>
      </c>
      <c r="G77" s="65">
        <v>573000</v>
      </c>
      <c r="H77" s="61" t="s">
        <v>12</v>
      </c>
      <c r="I77" s="62">
        <v>987262671495</v>
      </c>
      <c r="J77" s="62">
        <v>925294377100122</v>
      </c>
      <c r="K77" s="66" t="s">
        <v>20</v>
      </c>
      <c r="L77" s="57" t="s">
        <v>27</v>
      </c>
      <c r="M77" s="64" t="s">
        <v>13</v>
      </c>
    </row>
    <row r="78" spans="1:13" x14ac:dyDescent="0.35">
      <c r="A78" s="57">
        <v>73</v>
      </c>
      <c r="B78" s="58">
        <v>45949</v>
      </c>
      <c r="C78" s="58">
        <v>45949</v>
      </c>
      <c r="D78" s="59">
        <v>0.33333333333333331</v>
      </c>
      <c r="E78" s="59">
        <v>0.83333333333333337</v>
      </c>
      <c r="F78" s="65">
        <v>453000</v>
      </c>
      <c r="G78" s="65">
        <v>453000</v>
      </c>
      <c r="H78" s="61" t="s">
        <v>12</v>
      </c>
      <c r="I78" s="62">
        <v>987262671823</v>
      </c>
      <c r="J78" s="62">
        <v>925294377093961</v>
      </c>
      <c r="K78" s="66" t="s">
        <v>25</v>
      </c>
      <c r="L78" s="57" t="s">
        <v>27</v>
      </c>
      <c r="M78" s="64" t="s">
        <v>22</v>
      </c>
    </row>
    <row r="79" spans="1:13" x14ac:dyDescent="0.35">
      <c r="A79" s="57">
        <v>74</v>
      </c>
      <c r="B79" s="58">
        <v>45949</v>
      </c>
      <c r="C79" s="58">
        <v>45949</v>
      </c>
      <c r="D79" s="59">
        <v>0.33333333333333331</v>
      </c>
      <c r="E79" s="59">
        <v>0.83333333333333337</v>
      </c>
      <c r="F79" s="65">
        <v>1261000</v>
      </c>
      <c r="G79" s="65">
        <v>1261000</v>
      </c>
      <c r="H79" s="61" t="s">
        <v>12</v>
      </c>
      <c r="I79" s="62">
        <v>987262671823</v>
      </c>
      <c r="J79" s="62">
        <v>925294377093961</v>
      </c>
      <c r="K79" s="66" t="s">
        <v>24</v>
      </c>
      <c r="L79" s="57" t="s">
        <v>27</v>
      </c>
      <c r="M79" s="64" t="s">
        <v>13</v>
      </c>
    </row>
    <row r="80" spans="1:13" x14ac:dyDescent="0.35">
      <c r="A80" s="57">
        <v>75</v>
      </c>
      <c r="B80" s="58">
        <v>45949</v>
      </c>
      <c r="C80" s="58">
        <v>45950</v>
      </c>
      <c r="D80" s="59">
        <v>0.83333333333333337</v>
      </c>
      <c r="E80" s="59">
        <v>0.33333333333333331</v>
      </c>
      <c r="F80" s="65">
        <v>157000</v>
      </c>
      <c r="G80" s="65">
        <v>157000</v>
      </c>
      <c r="H80" s="61" t="s">
        <v>12</v>
      </c>
      <c r="I80" s="62">
        <v>987262671823</v>
      </c>
      <c r="J80" s="62">
        <v>925294377093961</v>
      </c>
      <c r="K80" s="66" t="s">
        <v>16</v>
      </c>
      <c r="L80" s="57" t="s">
        <v>27</v>
      </c>
      <c r="M80" s="64" t="s">
        <v>22</v>
      </c>
    </row>
    <row r="81" spans="1:13" x14ac:dyDescent="0.35">
      <c r="A81" s="57">
        <v>76</v>
      </c>
      <c r="B81" s="58">
        <v>45949</v>
      </c>
      <c r="C81" s="58">
        <v>45950</v>
      </c>
      <c r="D81" s="59">
        <v>0.83333333333333337</v>
      </c>
      <c r="E81" s="59">
        <v>0.33333333333333331</v>
      </c>
      <c r="F81" s="65">
        <v>487000</v>
      </c>
      <c r="G81" s="65">
        <v>487000</v>
      </c>
      <c r="H81" s="61" t="s">
        <v>12</v>
      </c>
      <c r="I81" s="62">
        <v>987262671823</v>
      </c>
      <c r="J81" s="62">
        <v>925294377093961</v>
      </c>
      <c r="K81" s="66" t="s">
        <v>15</v>
      </c>
      <c r="L81" s="57" t="s">
        <v>27</v>
      </c>
      <c r="M81" s="64" t="s">
        <v>13</v>
      </c>
    </row>
    <row r="82" spans="1:13" x14ac:dyDescent="0.35">
      <c r="A82" s="57">
        <v>77</v>
      </c>
      <c r="B82" s="58">
        <v>45950</v>
      </c>
      <c r="C82" s="58">
        <v>45950</v>
      </c>
      <c r="D82" s="59">
        <v>0.33333333333333331</v>
      </c>
      <c r="E82" s="59">
        <v>0.83333333333333337</v>
      </c>
      <c r="F82" s="65">
        <v>690000</v>
      </c>
      <c r="G82" s="65">
        <v>690000</v>
      </c>
      <c r="H82" s="61" t="s">
        <v>12</v>
      </c>
      <c r="I82" s="62">
        <v>987262681631</v>
      </c>
      <c r="J82" s="62">
        <v>925296377798209</v>
      </c>
      <c r="K82" s="66" t="s">
        <v>25</v>
      </c>
      <c r="L82" s="57" t="s">
        <v>27</v>
      </c>
      <c r="M82" s="64" t="s">
        <v>22</v>
      </c>
    </row>
    <row r="83" spans="1:13" x14ac:dyDescent="0.35">
      <c r="A83" s="57">
        <v>78</v>
      </c>
      <c r="B83" s="58">
        <v>45950</v>
      </c>
      <c r="C83" s="58">
        <v>45950</v>
      </c>
      <c r="D83" s="59">
        <v>0.33333333333333331</v>
      </c>
      <c r="E83" s="59">
        <v>0.83333333333333337</v>
      </c>
      <c r="F83" s="65">
        <v>1128000</v>
      </c>
      <c r="G83" s="65">
        <v>1128000</v>
      </c>
      <c r="H83" s="61" t="s">
        <v>12</v>
      </c>
      <c r="I83" s="62">
        <v>987262681631</v>
      </c>
      <c r="J83" s="62">
        <v>925296377798209</v>
      </c>
      <c r="K83" s="66" t="s">
        <v>24</v>
      </c>
      <c r="L83" s="57" t="s">
        <v>27</v>
      </c>
      <c r="M83" s="64" t="s">
        <v>13</v>
      </c>
    </row>
    <row r="84" spans="1:13" x14ac:dyDescent="0.35">
      <c r="A84" s="57">
        <v>79</v>
      </c>
      <c r="B84" s="58">
        <v>45950</v>
      </c>
      <c r="C84" s="58">
        <v>45951</v>
      </c>
      <c r="D84" s="59">
        <v>0.83333333333333337</v>
      </c>
      <c r="E84" s="59">
        <v>0.33333333333333331</v>
      </c>
      <c r="F84" s="65">
        <v>107000</v>
      </c>
      <c r="G84" s="65">
        <v>107000</v>
      </c>
      <c r="H84" s="61" t="s">
        <v>12</v>
      </c>
      <c r="I84" s="62">
        <v>987262681631</v>
      </c>
      <c r="J84" s="62">
        <v>925296377798209</v>
      </c>
      <c r="K84" s="66" t="s">
        <v>16</v>
      </c>
      <c r="L84" s="57" t="s">
        <v>27</v>
      </c>
      <c r="M84" s="64" t="s">
        <v>22</v>
      </c>
    </row>
    <row r="85" spans="1:13" x14ac:dyDescent="0.35">
      <c r="A85" s="57">
        <v>80</v>
      </c>
      <c r="B85" s="58">
        <v>45950</v>
      </c>
      <c r="C85" s="58">
        <v>45951</v>
      </c>
      <c r="D85" s="59">
        <v>0.83333333333333337</v>
      </c>
      <c r="E85" s="59">
        <v>0.33333333333333331</v>
      </c>
      <c r="F85" s="65">
        <v>413000</v>
      </c>
      <c r="G85" s="65">
        <v>413000</v>
      </c>
      <c r="H85" s="61" t="s">
        <v>12</v>
      </c>
      <c r="I85" s="62">
        <v>987262681631</v>
      </c>
      <c r="J85" s="62">
        <v>925296377798209</v>
      </c>
      <c r="K85" s="66" t="s">
        <v>15</v>
      </c>
      <c r="L85" s="57" t="s">
        <v>27</v>
      </c>
      <c r="M85" s="64" t="s">
        <v>13</v>
      </c>
    </row>
    <row r="86" spans="1:13" x14ac:dyDescent="0.35">
      <c r="A86" s="57">
        <v>81</v>
      </c>
      <c r="B86" s="58">
        <v>45951</v>
      </c>
      <c r="C86" s="58">
        <v>45951</v>
      </c>
      <c r="D86" s="59">
        <v>0.33333333333333331</v>
      </c>
      <c r="E86" s="59">
        <v>0.83333333333333337</v>
      </c>
      <c r="F86" s="65">
        <v>235000</v>
      </c>
      <c r="G86" s="65">
        <v>235000</v>
      </c>
      <c r="H86" s="61" t="s">
        <v>12</v>
      </c>
      <c r="I86" s="62">
        <v>987262695665</v>
      </c>
      <c r="J86" s="62">
        <v>925296377926587</v>
      </c>
      <c r="K86" s="66" t="s">
        <v>19</v>
      </c>
      <c r="L86" s="57" t="s">
        <v>27</v>
      </c>
      <c r="M86" s="64" t="s">
        <v>22</v>
      </c>
    </row>
    <row r="87" spans="1:13" x14ac:dyDescent="0.35">
      <c r="A87" s="57">
        <v>82</v>
      </c>
      <c r="B87" s="58">
        <v>45951</v>
      </c>
      <c r="C87" s="58">
        <v>45951</v>
      </c>
      <c r="D87" s="59">
        <v>0.33333333333333331</v>
      </c>
      <c r="E87" s="59">
        <v>0.83333333333333337</v>
      </c>
      <c r="F87" s="65">
        <v>1022000</v>
      </c>
      <c r="G87" s="65">
        <v>1022000</v>
      </c>
      <c r="H87" s="61" t="s">
        <v>12</v>
      </c>
      <c r="I87" s="62">
        <v>987262695665</v>
      </c>
      <c r="J87" s="62">
        <v>925296377926587</v>
      </c>
      <c r="K87" s="66" t="s">
        <v>20</v>
      </c>
      <c r="L87" s="57" t="s">
        <v>27</v>
      </c>
      <c r="M87" s="64" t="s">
        <v>13</v>
      </c>
    </row>
    <row r="88" spans="1:13" x14ac:dyDescent="0.35">
      <c r="A88" s="57">
        <v>83</v>
      </c>
      <c r="B88" s="58">
        <v>45951</v>
      </c>
      <c r="C88" s="58">
        <v>45952</v>
      </c>
      <c r="D88" s="59">
        <v>0.83333333333333337</v>
      </c>
      <c r="E88" s="59">
        <v>0.33333333333333331</v>
      </c>
      <c r="F88" s="65">
        <v>248000</v>
      </c>
      <c r="G88" s="65">
        <v>248000</v>
      </c>
      <c r="H88" s="61" t="s">
        <v>12</v>
      </c>
      <c r="I88" s="62">
        <v>987262695665</v>
      </c>
      <c r="J88" s="62">
        <v>925296377926587</v>
      </c>
      <c r="K88" s="66" t="s">
        <v>25</v>
      </c>
      <c r="L88" s="57" t="s">
        <v>27</v>
      </c>
      <c r="M88" s="64" t="s">
        <v>22</v>
      </c>
    </row>
    <row r="89" spans="1:13" x14ac:dyDescent="0.35">
      <c r="A89" s="57">
        <v>84</v>
      </c>
      <c r="B89" s="58">
        <v>45951</v>
      </c>
      <c r="C89" s="58">
        <v>45952</v>
      </c>
      <c r="D89" s="59">
        <v>0.83333333333333337</v>
      </c>
      <c r="E89" s="59">
        <v>0.33333333333333331</v>
      </c>
      <c r="F89" s="65">
        <v>386000</v>
      </c>
      <c r="G89" s="65">
        <v>386000</v>
      </c>
      <c r="H89" s="61" t="s">
        <v>12</v>
      </c>
      <c r="I89" s="62">
        <v>987262695665</v>
      </c>
      <c r="J89" s="62">
        <v>925296377926587</v>
      </c>
      <c r="K89" s="66" t="s">
        <v>24</v>
      </c>
      <c r="L89" s="57" t="s">
        <v>27</v>
      </c>
      <c r="M89" s="64" t="s">
        <v>13</v>
      </c>
    </row>
    <row r="90" spans="1:13" x14ac:dyDescent="0.35">
      <c r="A90" s="57">
        <v>85</v>
      </c>
      <c r="B90" s="58">
        <v>45952</v>
      </c>
      <c r="C90" s="58">
        <v>45952</v>
      </c>
      <c r="D90" s="59">
        <v>0.33333333333333331</v>
      </c>
      <c r="E90" s="59">
        <v>0.83333333333333337</v>
      </c>
      <c r="F90" s="65">
        <v>220000</v>
      </c>
      <c r="G90" s="65">
        <v>220000</v>
      </c>
      <c r="H90" s="61" t="s">
        <v>12</v>
      </c>
      <c r="I90" s="62">
        <v>987262701960</v>
      </c>
      <c r="J90" s="62">
        <v>925297378181693</v>
      </c>
      <c r="K90" s="66" t="s">
        <v>19</v>
      </c>
      <c r="L90" s="57" t="s">
        <v>27</v>
      </c>
      <c r="M90" s="64" t="s">
        <v>22</v>
      </c>
    </row>
    <row r="91" spans="1:13" x14ac:dyDescent="0.35">
      <c r="A91" s="57">
        <v>86</v>
      </c>
      <c r="B91" s="58">
        <v>45952</v>
      </c>
      <c r="C91" s="58">
        <v>45952</v>
      </c>
      <c r="D91" s="59">
        <v>0.33333333333333331</v>
      </c>
      <c r="E91" s="59">
        <v>0.83333333333333337</v>
      </c>
      <c r="F91" s="65">
        <v>944000</v>
      </c>
      <c r="G91" s="65">
        <v>944000</v>
      </c>
      <c r="H91" s="61" t="s">
        <v>12</v>
      </c>
      <c r="I91" s="62">
        <v>987262701960</v>
      </c>
      <c r="J91" s="62">
        <v>925297378181693</v>
      </c>
      <c r="K91" s="66" t="s">
        <v>20</v>
      </c>
      <c r="L91" s="57" t="s">
        <v>27</v>
      </c>
      <c r="M91" s="64" t="s">
        <v>13</v>
      </c>
    </row>
    <row r="92" spans="1:13" x14ac:dyDescent="0.35">
      <c r="A92" s="57">
        <v>87</v>
      </c>
      <c r="B92" s="58">
        <v>45952</v>
      </c>
      <c r="C92" s="58">
        <v>45953</v>
      </c>
      <c r="D92" s="59">
        <v>0.83333333333333337</v>
      </c>
      <c r="E92" s="59">
        <v>0.33333333333333331</v>
      </c>
      <c r="F92" s="65">
        <v>172000</v>
      </c>
      <c r="G92" s="65">
        <v>172000</v>
      </c>
      <c r="H92" s="61" t="s">
        <v>12</v>
      </c>
      <c r="I92" s="62">
        <v>987262701960</v>
      </c>
      <c r="J92" s="62">
        <v>925297378181693</v>
      </c>
      <c r="K92" s="66" t="s">
        <v>25</v>
      </c>
      <c r="L92" s="57" t="s">
        <v>27</v>
      </c>
      <c r="M92" s="64" t="s">
        <v>22</v>
      </c>
    </row>
    <row r="93" spans="1:13" x14ac:dyDescent="0.35">
      <c r="A93" s="57">
        <v>88</v>
      </c>
      <c r="B93" s="58">
        <v>45952</v>
      </c>
      <c r="C93" s="58">
        <v>45953</v>
      </c>
      <c r="D93" s="59">
        <v>0.83333333333333337</v>
      </c>
      <c r="E93" s="59">
        <v>0.33333333333333331</v>
      </c>
      <c r="F93" s="65">
        <v>416000</v>
      </c>
      <c r="G93" s="65">
        <v>416000</v>
      </c>
      <c r="H93" s="61" t="s">
        <v>12</v>
      </c>
      <c r="I93" s="62">
        <v>987262701960</v>
      </c>
      <c r="J93" s="62">
        <v>925297378181693</v>
      </c>
      <c r="K93" s="66" t="s">
        <v>24</v>
      </c>
      <c r="L93" s="57" t="s">
        <v>27</v>
      </c>
      <c r="M93" s="64" t="s">
        <v>13</v>
      </c>
    </row>
    <row r="94" spans="1:13" x14ac:dyDescent="0.35">
      <c r="A94" s="57">
        <v>89</v>
      </c>
      <c r="B94" s="58">
        <v>45953</v>
      </c>
      <c r="C94" s="58">
        <v>45953</v>
      </c>
      <c r="D94" s="59">
        <v>0.33333333333333331</v>
      </c>
      <c r="E94" s="59">
        <v>0.83333333333333337</v>
      </c>
      <c r="F94" s="65">
        <v>218000</v>
      </c>
      <c r="G94" s="65">
        <v>218000</v>
      </c>
      <c r="H94" s="61" t="s">
        <v>12</v>
      </c>
      <c r="I94" s="62">
        <v>987262734966</v>
      </c>
      <c r="J94" s="62" t="s">
        <v>45</v>
      </c>
      <c r="K94" s="66" t="s">
        <v>16</v>
      </c>
      <c r="L94" s="57" t="s">
        <v>45</v>
      </c>
      <c r="M94" s="64" t="s">
        <v>22</v>
      </c>
    </row>
    <row r="95" spans="1:13" x14ac:dyDescent="0.35">
      <c r="A95" s="57">
        <v>90</v>
      </c>
      <c r="B95" s="58">
        <v>45953</v>
      </c>
      <c r="C95" s="58">
        <v>45953</v>
      </c>
      <c r="D95" s="59">
        <v>0.33333333333333331</v>
      </c>
      <c r="E95" s="59">
        <v>0.83333333333333337</v>
      </c>
      <c r="F95" s="65">
        <v>883000</v>
      </c>
      <c r="G95" s="65">
        <v>883000</v>
      </c>
      <c r="H95" s="61" t="s">
        <v>12</v>
      </c>
      <c r="I95" s="62">
        <v>987262734966</v>
      </c>
      <c r="J95" s="62" t="s">
        <v>45</v>
      </c>
      <c r="K95" s="66" t="s">
        <v>15</v>
      </c>
      <c r="L95" s="57" t="s">
        <v>45</v>
      </c>
      <c r="M95" s="64" t="s">
        <v>13</v>
      </c>
    </row>
    <row r="96" spans="1:13" x14ac:dyDescent="0.35">
      <c r="A96" s="57">
        <v>91</v>
      </c>
      <c r="B96" s="58">
        <v>45953</v>
      </c>
      <c r="C96" s="58">
        <v>45954</v>
      </c>
      <c r="D96" s="59">
        <v>0.83333333333333337</v>
      </c>
      <c r="E96" s="59">
        <v>0.33333333333333331</v>
      </c>
      <c r="F96" s="65">
        <v>225000</v>
      </c>
      <c r="G96" s="65">
        <v>225000</v>
      </c>
      <c r="H96" s="61" t="s">
        <v>12</v>
      </c>
      <c r="I96" s="62">
        <v>987262734966</v>
      </c>
      <c r="J96" s="62" t="s">
        <v>45</v>
      </c>
      <c r="K96" s="66" t="s">
        <v>19</v>
      </c>
      <c r="L96" s="57" t="s">
        <v>45</v>
      </c>
      <c r="M96" s="64" t="s">
        <v>22</v>
      </c>
    </row>
    <row r="97" spans="1:13" x14ac:dyDescent="0.35">
      <c r="A97" s="57">
        <v>92</v>
      </c>
      <c r="B97" s="58">
        <v>45953</v>
      </c>
      <c r="C97" s="58">
        <v>45954</v>
      </c>
      <c r="D97" s="59">
        <v>0.83333333333333337</v>
      </c>
      <c r="E97" s="59">
        <v>0.33333333333333331</v>
      </c>
      <c r="F97" s="65">
        <v>640000</v>
      </c>
      <c r="G97" s="65">
        <v>640000</v>
      </c>
      <c r="H97" s="61" t="s">
        <v>12</v>
      </c>
      <c r="I97" s="62">
        <v>987262734966</v>
      </c>
      <c r="J97" s="62" t="s">
        <v>45</v>
      </c>
      <c r="K97" s="66" t="s">
        <v>20</v>
      </c>
      <c r="L97" s="57" t="s">
        <v>45</v>
      </c>
      <c r="M97" s="64" t="s">
        <v>13</v>
      </c>
    </row>
    <row r="98" spans="1:13" x14ac:dyDescent="0.35">
      <c r="A98" s="57">
        <v>93</v>
      </c>
      <c r="B98" s="58">
        <v>45954</v>
      </c>
      <c r="C98" s="58">
        <v>45954</v>
      </c>
      <c r="D98" s="59">
        <v>0.33333333333333331</v>
      </c>
      <c r="E98" s="59">
        <v>0.83333333333333337</v>
      </c>
      <c r="F98" s="65">
        <v>282000</v>
      </c>
      <c r="G98" s="65">
        <v>282000</v>
      </c>
      <c r="H98" s="61" t="s">
        <v>12</v>
      </c>
      <c r="I98" s="62">
        <v>987262754215</v>
      </c>
      <c r="J98" s="62">
        <v>925310380579154</v>
      </c>
      <c r="K98" s="66" t="s">
        <v>16</v>
      </c>
      <c r="L98" s="57" t="s">
        <v>27</v>
      </c>
      <c r="M98" s="64" t="s">
        <v>22</v>
      </c>
    </row>
    <row r="99" spans="1:13" x14ac:dyDescent="0.35">
      <c r="A99" s="57">
        <v>94</v>
      </c>
      <c r="B99" s="58">
        <v>45954</v>
      </c>
      <c r="C99" s="58">
        <v>45954</v>
      </c>
      <c r="D99" s="59">
        <v>0.33333333333333331</v>
      </c>
      <c r="E99" s="59">
        <v>0.83333333333333337</v>
      </c>
      <c r="F99" s="65">
        <v>961000</v>
      </c>
      <c r="G99" s="65">
        <v>961000</v>
      </c>
      <c r="H99" s="61" t="s">
        <v>12</v>
      </c>
      <c r="I99" s="62">
        <v>987262735156</v>
      </c>
      <c r="J99" s="62">
        <v>925310380579154</v>
      </c>
      <c r="K99" s="66" t="s">
        <v>15</v>
      </c>
      <c r="L99" s="57" t="s">
        <v>27</v>
      </c>
      <c r="M99" s="64" t="s">
        <v>13</v>
      </c>
    </row>
    <row r="100" spans="1:13" x14ac:dyDescent="0.35">
      <c r="A100" s="57">
        <v>95</v>
      </c>
      <c r="B100" s="58">
        <v>45954</v>
      </c>
      <c r="C100" s="58">
        <v>45955</v>
      </c>
      <c r="D100" s="59">
        <v>0.83333333333333337</v>
      </c>
      <c r="E100" s="59">
        <v>0.33333333333333331</v>
      </c>
      <c r="F100" s="65">
        <v>214000</v>
      </c>
      <c r="G100" s="65">
        <v>214000</v>
      </c>
      <c r="H100" s="61" t="s">
        <v>12</v>
      </c>
      <c r="I100" s="62">
        <v>987262735156</v>
      </c>
      <c r="J100" s="62">
        <v>925310380579154</v>
      </c>
      <c r="K100" s="66" t="s">
        <v>19</v>
      </c>
      <c r="L100" s="57" t="s">
        <v>27</v>
      </c>
      <c r="M100" s="64" t="s">
        <v>22</v>
      </c>
    </row>
    <row r="101" spans="1:13" x14ac:dyDescent="0.35">
      <c r="A101" s="57">
        <v>96</v>
      </c>
      <c r="B101" s="58">
        <v>45954</v>
      </c>
      <c r="C101" s="58">
        <v>45955</v>
      </c>
      <c r="D101" s="59">
        <v>0.83333333333333337</v>
      </c>
      <c r="E101" s="59">
        <v>0.33333333333333331</v>
      </c>
      <c r="F101" s="65">
        <v>410000</v>
      </c>
      <c r="G101" s="65">
        <v>410000</v>
      </c>
      <c r="H101" s="61" t="s">
        <v>12</v>
      </c>
      <c r="I101" s="62">
        <v>987262735156</v>
      </c>
      <c r="J101" s="62">
        <v>925310380579154</v>
      </c>
      <c r="K101" s="66" t="s">
        <v>20</v>
      </c>
      <c r="L101" s="57" t="s">
        <v>27</v>
      </c>
      <c r="M101" s="64" t="s">
        <v>13</v>
      </c>
    </row>
    <row r="102" spans="1:13" x14ac:dyDescent="0.35">
      <c r="A102" s="57">
        <v>97</v>
      </c>
      <c r="B102" s="58">
        <v>45955</v>
      </c>
      <c r="C102" s="58">
        <v>45955</v>
      </c>
      <c r="D102" s="59">
        <v>0.33333333333333331</v>
      </c>
      <c r="E102" s="59">
        <v>0.83333333333333337</v>
      </c>
      <c r="F102" s="65">
        <v>308000</v>
      </c>
      <c r="G102" s="65">
        <v>308000</v>
      </c>
      <c r="H102" s="61" t="s">
        <v>12</v>
      </c>
      <c r="I102" s="62">
        <v>987262754223</v>
      </c>
      <c r="J102" s="62">
        <v>925310380578151</v>
      </c>
      <c r="K102" s="66" t="s">
        <v>25</v>
      </c>
      <c r="L102" s="57" t="s">
        <v>27</v>
      </c>
      <c r="M102" s="64" t="s">
        <v>22</v>
      </c>
    </row>
    <row r="103" spans="1:13" x14ac:dyDescent="0.35">
      <c r="A103" s="57">
        <v>98</v>
      </c>
      <c r="B103" s="58">
        <v>45955</v>
      </c>
      <c r="C103" s="58">
        <v>45955</v>
      </c>
      <c r="D103" s="59">
        <v>0.33333333333333331</v>
      </c>
      <c r="E103" s="59">
        <v>0.83333333333333337</v>
      </c>
      <c r="F103" s="65">
        <v>934000</v>
      </c>
      <c r="G103" s="65">
        <v>934000</v>
      </c>
      <c r="H103" s="61" t="s">
        <v>12</v>
      </c>
      <c r="I103" s="62">
        <v>987262754223</v>
      </c>
      <c r="J103" s="62">
        <v>925310380578151</v>
      </c>
      <c r="K103" s="66" t="s">
        <v>24</v>
      </c>
      <c r="L103" s="57" t="s">
        <v>27</v>
      </c>
      <c r="M103" s="64" t="s">
        <v>13</v>
      </c>
    </row>
    <row r="104" spans="1:13" x14ac:dyDescent="0.35">
      <c r="A104" s="57">
        <v>99</v>
      </c>
      <c r="B104" s="58">
        <v>45955</v>
      </c>
      <c r="C104" s="58">
        <v>45956</v>
      </c>
      <c r="D104" s="59">
        <v>0.83333333333333337</v>
      </c>
      <c r="E104" s="59">
        <v>0.33333333333333331</v>
      </c>
      <c r="F104" s="65">
        <v>214000</v>
      </c>
      <c r="G104" s="65">
        <v>214000</v>
      </c>
      <c r="H104" s="61" t="s">
        <v>12</v>
      </c>
      <c r="I104" s="62">
        <v>987262754223</v>
      </c>
      <c r="J104" s="62">
        <v>925310380578151</v>
      </c>
      <c r="K104" s="66" t="s">
        <v>16</v>
      </c>
      <c r="L104" s="57" t="s">
        <v>27</v>
      </c>
      <c r="M104" s="64" t="s">
        <v>22</v>
      </c>
    </row>
    <row r="105" spans="1:13" x14ac:dyDescent="0.35">
      <c r="A105" s="57">
        <v>100</v>
      </c>
      <c r="B105" s="58">
        <v>45955</v>
      </c>
      <c r="C105" s="58">
        <v>45956</v>
      </c>
      <c r="D105" s="59">
        <v>0.83333333333333337</v>
      </c>
      <c r="E105" s="59">
        <v>0.33333333333333331</v>
      </c>
      <c r="F105" s="65">
        <v>463000</v>
      </c>
      <c r="G105" s="65">
        <v>463000</v>
      </c>
      <c r="H105" s="61" t="s">
        <v>12</v>
      </c>
      <c r="I105" s="62">
        <v>987262754223</v>
      </c>
      <c r="J105" s="62">
        <v>925310380578151</v>
      </c>
      <c r="K105" s="66" t="s">
        <v>15</v>
      </c>
      <c r="L105" s="57" t="s">
        <v>27</v>
      </c>
      <c r="M105" s="64" t="s">
        <v>13</v>
      </c>
    </row>
    <row r="106" spans="1:13" x14ac:dyDescent="0.35">
      <c r="A106" s="57">
        <v>101</v>
      </c>
      <c r="B106" s="58">
        <v>45956</v>
      </c>
      <c r="C106" s="58">
        <v>45956</v>
      </c>
      <c r="D106" s="59">
        <v>0.33333333333333331</v>
      </c>
      <c r="E106" s="59">
        <v>0.83333333333333337</v>
      </c>
      <c r="F106" s="65">
        <v>352000</v>
      </c>
      <c r="G106" s="65">
        <v>352000</v>
      </c>
      <c r="H106" s="61" t="s">
        <v>12</v>
      </c>
      <c r="I106" s="62">
        <v>987262754229</v>
      </c>
      <c r="J106" s="62">
        <v>925310380579962</v>
      </c>
      <c r="K106" s="66" t="s">
        <v>25</v>
      </c>
      <c r="L106" s="57" t="s">
        <v>27</v>
      </c>
      <c r="M106" s="64" t="s">
        <v>22</v>
      </c>
    </row>
    <row r="107" spans="1:13" x14ac:dyDescent="0.35">
      <c r="A107" s="57">
        <v>102</v>
      </c>
      <c r="B107" s="58">
        <v>45956</v>
      </c>
      <c r="C107" s="58">
        <v>45956</v>
      </c>
      <c r="D107" s="59">
        <v>0.33333333333333331</v>
      </c>
      <c r="E107" s="59">
        <v>0.83333333333333337</v>
      </c>
      <c r="F107" s="65">
        <v>1016000</v>
      </c>
      <c r="G107" s="65">
        <v>1016000</v>
      </c>
      <c r="H107" s="61" t="s">
        <v>12</v>
      </c>
      <c r="I107" s="62">
        <v>987262754229</v>
      </c>
      <c r="J107" s="62">
        <v>925310380579962</v>
      </c>
      <c r="K107" s="66" t="s">
        <v>24</v>
      </c>
      <c r="L107" s="57" t="s">
        <v>27</v>
      </c>
      <c r="M107" s="64" t="s">
        <v>13</v>
      </c>
    </row>
    <row r="108" spans="1:13" x14ac:dyDescent="0.35">
      <c r="A108" s="57">
        <v>103</v>
      </c>
      <c r="B108" s="58">
        <v>45956</v>
      </c>
      <c r="C108" s="58">
        <v>45957</v>
      </c>
      <c r="D108" s="59">
        <v>0.83333333333333337</v>
      </c>
      <c r="E108" s="59">
        <v>0.33333333333333331</v>
      </c>
      <c r="F108" s="65">
        <v>266000</v>
      </c>
      <c r="G108" s="65">
        <v>266000</v>
      </c>
      <c r="H108" s="61" t="s">
        <v>12</v>
      </c>
      <c r="I108" s="62">
        <v>987262754229</v>
      </c>
      <c r="J108" s="62">
        <v>925310380579962</v>
      </c>
      <c r="K108" s="66" t="s">
        <v>16</v>
      </c>
      <c r="L108" s="57" t="s">
        <v>27</v>
      </c>
      <c r="M108" s="64" t="s">
        <v>22</v>
      </c>
    </row>
    <row r="109" spans="1:13" x14ac:dyDescent="0.35">
      <c r="A109" s="57">
        <v>104</v>
      </c>
      <c r="B109" s="58">
        <v>45956</v>
      </c>
      <c r="C109" s="58">
        <v>45957</v>
      </c>
      <c r="D109" s="59">
        <v>0.83333333333333337</v>
      </c>
      <c r="E109" s="59">
        <v>0.33333333333333331</v>
      </c>
      <c r="F109" s="65">
        <v>321000</v>
      </c>
      <c r="G109" s="65">
        <v>321000</v>
      </c>
      <c r="H109" s="61" t="s">
        <v>12</v>
      </c>
      <c r="I109" s="62">
        <v>987262754229</v>
      </c>
      <c r="J109" s="62">
        <v>925310380579962</v>
      </c>
      <c r="K109" s="66" t="s">
        <v>15</v>
      </c>
      <c r="L109" s="57" t="s">
        <v>27</v>
      </c>
      <c r="M109" s="64" t="s">
        <v>13</v>
      </c>
    </row>
    <row r="110" spans="1:13" x14ac:dyDescent="0.35">
      <c r="A110" s="57">
        <v>105</v>
      </c>
      <c r="B110" s="58">
        <v>45957</v>
      </c>
      <c r="C110" s="58">
        <v>45957</v>
      </c>
      <c r="D110" s="59">
        <v>0.33333333333333331</v>
      </c>
      <c r="E110" s="59">
        <v>0.83333333333333337</v>
      </c>
      <c r="F110" s="65">
        <v>377000</v>
      </c>
      <c r="G110" s="65">
        <v>377000</v>
      </c>
      <c r="H110" s="61" t="s">
        <v>12</v>
      </c>
      <c r="I110" s="62">
        <v>987262754232</v>
      </c>
      <c r="J110" s="62">
        <v>925310380578416</v>
      </c>
      <c r="K110" s="66" t="s">
        <v>19</v>
      </c>
      <c r="L110" s="57" t="s">
        <v>27</v>
      </c>
      <c r="M110" s="64" t="s">
        <v>22</v>
      </c>
    </row>
    <row r="111" spans="1:13" x14ac:dyDescent="0.35">
      <c r="A111" s="57">
        <v>106</v>
      </c>
      <c r="B111" s="58">
        <v>45957</v>
      </c>
      <c r="C111" s="58">
        <v>45957</v>
      </c>
      <c r="D111" s="59">
        <v>0.33333333333333331</v>
      </c>
      <c r="E111" s="59">
        <v>0.83333333333333337</v>
      </c>
      <c r="F111" s="65">
        <v>1149000</v>
      </c>
      <c r="G111" s="65">
        <v>1149000</v>
      </c>
      <c r="H111" s="61" t="s">
        <v>12</v>
      </c>
      <c r="I111" s="62">
        <v>987262754232</v>
      </c>
      <c r="J111" s="62">
        <v>925310380578416</v>
      </c>
      <c r="K111" s="66" t="s">
        <v>20</v>
      </c>
      <c r="L111" s="57" t="s">
        <v>27</v>
      </c>
      <c r="M111" s="64" t="s">
        <v>13</v>
      </c>
    </row>
    <row r="112" spans="1:13" x14ac:dyDescent="0.35">
      <c r="A112" s="57">
        <v>107</v>
      </c>
      <c r="B112" s="58">
        <v>45957</v>
      </c>
      <c r="C112" s="58">
        <v>45958</v>
      </c>
      <c r="D112" s="59">
        <v>0.83333333333333337</v>
      </c>
      <c r="E112" s="59">
        <v>0.33333333333333331</v>
      </c>
      <c r="F112" s="65">
        <v>163000</v>
      </c>
      <c r="G112" s="65">
        <v>163000</v>
      </c>
      <c r="H112" s="61" t="s">
        <v>12</v>
      </c>
      <c r="I112" s="62">
        <v>987262754232</v>
      </c>
      <c r="J112" s="62">
        <v>925310380578416</v>
      </c>
      <c r="K112" s="66" t="s">
        <v>25</v>
      </c>
      <c r="L112" s="57" t="s">
        <v>27</v>
      </c>
      <c r="M112" s="64" t="s">
        <v>21</v>
      </c>
    </row>
    <row r="113" spans="1:13" x14ac:dyDescent="0.35">
      <c r="A113" s="57">
        <v>108</v>
      </c>
      <c r="B113" s="58">
        <v>45957</v>
      </c>
      <c r="C113" s="58">
        <v>45958</v>
      </c>
      <c r="D113" s="59">
        <v>0.83333333333333337</v>
      </c>
      <c r="E113" s="59">
        <v>0.33333333333333331</v>
      </c>
      <c r="F113" s="65">
        <v>328000</v>
      </c>
      <c r="G113" s="65">
        <v>328000</v>
      </c>
      <c r="H113" s="61" t="s">
        <v>12</v>
      </c>
      <c r="I113" s="62">
        <v>987262754232</v>
      </c>
      <c r="J113" s="62">
        <v>925310380578416</v>
      </c>
      <c r="K113" s="66" t="s">
        <v>24</v>
      </c>
      <c r="L113" s="57" t="s">
        <v>27</v>
      </c>
      <c r="M113" s="64" t="s">
        <v>13</v>
      </c>
    </row>
    <row r="114" spans="1:13" x14ac:dyDescent="0.35">
      <c r="A114" s="57">
        <v>109</v>
      </c>
      <c r="B114" s="58">
        <v>45958</v>
      </c>
      <c r="C114" s="58">
        <v>45958</v>
      </c>
      <c r="D114" s="59">
        <v>0.33333333333333331</v>
      </c>
      <c r="E114" s="59">
        <v>0.83333333333333337</v>
      </c>
      <c r="F114" s="65">
        <v>215000</v>
      </c>
      <c r="G114" s="65">
        <v>215000</v>
      </c>
      <c r="H114" s="61" t="s">
        <v>12</v>
      </c>
      <c r="I114" s="62">
        <v>987262746868</v>
      </c>
      <c r="J114" s="62">
        <v>925309380258379</v>
      </c>
      <c r="K114" s="66" t="s">
        <v>19</v>
      </c>
      <c r="L114" s="57" t="s">
        <v>27</v>
      </c>
      <c r="M114" s="64" t="s">
        <v>21</v>
      </c>
    </row>
    <row r="115" spans="1:13" x14ac:dyDescent="0.35">
      <c r="A115" s="57">
        <v>110</v>
      </c>
      <c r="B115" s="58">
        <v>45958</v>
      </c>
      <c r="C115" s="58">
        <v>45958</v>
      </c>
      <c r="D115" s="59">
        <v>0.33333333333333331</v>
      </c>
      <c r="E115" s="59">
        <v>0.83333333333333337</v>
      </c>
      <c r="F115" s="65">
        <v>898000</v>
      </c>
      <c r="G115" s="65">
        <v>898000</v>
      </c>
      <c r="H115" s="61" t="s">
        <v>12</v>
      </c>
      <c r="I115" s="62">
        <v>987262746868</v>
      </c>
      <c r="J115" s="62">
        <v>925309380258379</v>
      </c>
      <c r="K115" s="66" t="s">
        <v>20</v>
      </c>
      <c r="L115" s="57" t="s">
        <v>27</v>
      </c>
      <c r="M115" s="64" t="s">
        <v>13</v>
      </c>
    </row>
    <row r="116" spans="1:13" x14ac:dyDescent="0.35">
      <c r="A116" s="57">
        <v>111</v>
      </c>
      <c r="B116" s="58">
        <v>45958</v>
      </c>
      <c r="C116" s="58">
        <v>45959</v>
      </c>
      <c r="D116" s="59">
        <v>0.83333333333333337</v>
      </c>
      <c r="E116" s="59">
        <v>0.33333333333333331</v>
      </c>
      <c r="F116" s="65">
        <v>94000</v>
      </c>
      <c r="G116" s="65">
        <v>94000</v>
      </c>
      <c r="H116" s="61" t="s">
        <v>12</v>
      </c>
      <c r="I116" s="62">
        <v>987262746868</v>
      </c>
      <c r="J116" s="62">
        <v>925309380258379</v>
      </c>
      <c r="K116" s="66" t="s">
        <v>25</v>
      </c>
      <c r="L116" s="57" t="s">
        <v>27</v>
      </c>
      <c r="M116" s="64" t="s">
        <v>21</v>
      </c>
    </row>
    <row r="117" spans="1:13" x14ac:dyDescent="0.35">
      <c r="A117" s="57">
        <v>112</v>
      </c>
      <c r="B117" s="58">
        <v>45958</v>
      </c>
      <c r="C117" s="58">
        <v>45959</v>
      </c>
      <c r="D117" s="59">
        <v>0.83333333333333337</v>
      </c>
      <c r="E117" s="59">
        <v>0.33333333333333331</v>
      </c>
      <c r="F117" s="65">
        <v>458000</v>
      </c>
      <c r="G117" s="65">
        <v>458000</v>
      </c>
      <c r="H117" s="61" t="s">
        <v>12</v>
      </c>
      <c r="I117" s="62">
        <v>987262746868</v>
      </c>
      <c r="J117" s="62">
        <v>925309380258379</v>
      </c>
      <c r="K117" s="66" t="s">
        <v>24</v>
      </c>
      <c r="L117" s="57" t="s">
        <v>27</v>
      </c>
      <c r="M117" s="64" t="s">
        <v>13</v>
      </c>
    </row>
    <row r="118" spans="1:13" x14ac:dyDescent="0.35">
      <c r="A118" s="57">
        <v>113</v>
      </c>
      <c r="B118" s="58">
        <v>45959</v>
      </c>
      <c r="C118" s="58">
        <v>45959</v>
      </c>
      <c r="D118" s="59">
        <v>0.33333333333333331</v>
      </c>
      <c r="E118" s="59">
        <v>0.83333333333333337</v>
      </c>
      <c r="F118" s="65">
        <v>83000</v>
      </c>
      <c r="G118" s="65">
        <v>83000</v>
      </c>
      <c r="H118" s="61" t="s">
        <v>12</v>
      </c>
      <c r="I118" s="62">
        <v>987262746875</v>
      </c>
      <c r="J118" s="62">
        <v>925309380259632</v>
      </c>
      <c r="K118" s="66" t="s">
        <v>16</v>
      </c>
      <c r="L118" s="57" t="s">
        <v>27</v>
      </c>
      <c r="M118" s="64" t="s">
        <v>21</v>
      </c>
    </row>
    <row r="119" spans="1:13" x14ac:dyDescent="0.35">
      <c r="A119" s="57">
        <v>114</v>
      </c>
      <c r="B119" s="58">
        <v>45959</v>
      </c>
      <c r="C119" s="58">
        <v>45959</v>
      </c>
      <c r="D119" s="59">
        <v>0.33333333333333331</v>
      </c>
      <c r="E119" s="59">
        <v>0.83333333333333337</v>
      </c>
      <c r="F119" s="65">
        <v>403000</v>
      </c>
      <c r="G119" s="65">
        <v>403000</v>
      </c>
      <c r="H119" s="61" t="s">
        <v>12</v>
      </c>
      <c r="I119" s="62">
        <v>987262746875</v>
      </c>
      <c r="J119" s="62">
        <v>925309380259632</v>
      </c>
      <c r="K119" s="66" t="s">
        <v>15</v>
      </c>
      <c r="L119" s="57" t="s">
        <v>27</v>
      </c>
      <c r="M119" s="64" t="s">
        <v>13</v>
      </c>
    </row>
    <row r="120" spans="1:13" x14ac:dyDescent="0.35">
      <c r="A120" s="57">
        <v>115</v>
      </c>
      <c r="B120" s="58">
        <v>45959</v>
      </c>
      <c r="C120" s="58">
        <v>45960</v>
      </c>
      <c r="D120" s="59">
        <v>0.83333333333333337</v>
      </c>
      <c r="E120" s="59">
        <v>0.33333333333333331</v>
      </c>
      <c r="F120" s="327" t="s">
        <v>137</v>
      </c>
      <c r="G120" s="328"/>
      <c r="H120" s="328"/>
      <c r="I120" s="328"/>
      <c r="J120" s="328"/>
      <c r="K120" s="328"/>
      <c r="L120" s="328"/>
      <c r="M120" s="329"/>
    </row>
    <row r="121" spans="1:13" x14ac:dyDescent="0.35">
      <c r="A121" s="57">
        <v>116</v>
      </c>
      <c r="B121" s="58">
        <v>45959</v>
      </c>
      <c r="C121" s="58">
        <v>45960</v>
      </c>
      <c r="D121" s="59">
        <v>0.83333333333333337</v>
      </c>
      <c r="E121" s="59">
        <v>0.33333333333333331</v>
      </c>
      <c r="F121" s="330"/>
      <c r="G121" s="331"/>
      <c r="H121" s="331"/>
      <c r="I121" s="331"/>
      <c r="J121" s="331"/>
      <c r="K121" s="331"/>
      <c r="L121" s="331"/>
      <c r="M121" s="332"/>
    </row>
    <row r="122" spans="1:13" x14ac:dyDescent="0.35">
      <c r="A122" s="57">
        <v>117</v>
      </c>
      <c r="B122" s="58">
        <v>45960</v>
      </c>
      <c r="C122" s="58">
        <v>45960</v>
      </c>
      <c r="D122" s="59">
        <v>0.33333333333333331</v>
      </c>
      <c r="E122" s="59">
        <v>0.83333333333333337</v>
      </c>
      <c r="F122" s="330"/>
      <c r="G122" s="331"/>
      <c r="H122" s="331"/>
      <c r="I122" s="331"/>
      <c r="J122" s="331"/>
      <c r="K122" s="331"/>
      <c r="L122" s="331"/>
      <c r="M122" s="332"/>
    </row>
    <row r="123" spans="1:13" x14ac:dyDescent="0.35">
      <c r="A123" s="57">
        <v>118</v>
      </c>
      <c r="B123" s="58">
        <v>45960</v>
      </c>
      <c r="C123" s="58">
        <v>45960</v>
      </c>
      <c r="D123" s="59">
        <v>0.33333333333333331</v>
      </c>
      <c r="E123" s="59">
        <v>0.83333333333333337</v>
      </c>
      <c r="F123" s="333"/>
      <c r="G123" s="334"/>
      <c r="H123" s="334"/>
      <c r="I123" s="334"/>
      <c r="J123" s="334"/>
      <c r="K123" s="334"/>
      <c r="L123" s="334"/>
      <c r="M123" s="335"/>
    </row>
    <row r="124" spans="1:13" x14ac:dyDescent="0.35">
      <c r="A124" s="57">
        <v>119</v>
      </c>
      <c r="B124" s="58">
        <v>45960</v>
      </c>
      <c r="C124" s="58">
        <v>45961</v>
      </c>
      <c r="D124" s="59">
        <v>0.83333333333333337</v>
      </c>
      <c r="E124" s="59">
        <v>0.33333333333333331</v>
      </c>
      <c r="F124" s="65">
        <v>43000</v>
      </c>
      <c r="G124" s="65">
        <v>43000</v>
      </c>
      <c r="H124" s="61"/>
      <c r="I124" s="62">
        <v>987262746890</v>
      </c>
      <c r="J124" s="62">
        <v>925309380261274</v>
      </c>
      <c r="K124" s="66" t="s">
        <v>25</v>
      </c>
      <c r="L124" s="57" t="s">
        <v>45</v>
      </c>
      <c r="M124" s="64" t="s">
        <v>21</v>
      </c>
    </row>
    <row r="125" spans="1:13" x14ac:dyDescent="0.35">
      <c r="A125" s="57">
        <v>120</v>
      </c>
      <c r="B125" s="58">
        <v>45960</v>
      </c>
      <c r="C125" s="58">
        <v>45961</v>
      </c>
      <c r="D125" s="59">
        <v>0.83333333333333337</v>
      </c>
      <c r="E125" s="59">
        <v>0.33333333333333331</v>
      </c>
      <c r="F125" s="65">
        <v>84000</v>
      </c>
      <c r="G125" s="65">
        <v>84000</v>
      </c>
      <c r="H125" s="61"/>
      <c r="I125" s="62">
        <v>987262746890</v>
      </c>
      <c r="J125" s="62">
        <v>925309380261274</v>
      </c>
      <c r="K125" s="66" t="s">
        <v>16</v>
      </c>
      <c r="L125" s="57" t="s">
        <v>45</v>
      </c>
      <c r="M125" s="64" t="s">
        <v>13</v>
      </c>
    </row>
    <row r="126" spans="1:13" x14ac:dyDescent="0.35">
      <c r="A126" s="57">
        <v>121</v>
      </c>
      <c r="B126" s="58">
        <v>45961</v>
      </c>
      <c r="C126" s="58">
        <v>45962</v>
      </c>
      <c r="D126" s="59">
        <v>0.83333333333333337</v>
      </c>
      <c r="E126" s="59">
        <v>0.33333333333333331</v>
      </c>
      <c r="F126" s="336" t="s">
        <v>138</v>
      </c>
      <c r="G126" s="337"/>
      <c r="H126" s="337"/>
      <c r="I126" s="337"/>
      <c r="J126" s="337"/>
      <c r="K126" s="337"/>
      <c r="L126" s="337"/>
      <c r="M126" s="338"/>
    </row>
    <row r="127" spans="1:13" x14ac:dyDescent="0.35">
      <c r="A127" s="57">
        <v>122</v>
      </c>
      <c r="B127" s="58">
        <v>45961</v>
      </c>
      <c r="C127" s="58">
        <v>45962</v>
      </c>
      <c r="D127" s="59">
        <v>0.83333333333333337</v>
      </c>
      <c r="E127" s="59">
        <v>0.33333333333333331</v>
      </c>
      <c r="F127" s="339"/>
      <c r="G127" s="340"/>
      <c r="H127" s="340"/>
      <c r="I127" s="340"/>
      <c r="J127" s="340"/>
      <c r="K127" s="340"/>
      <c r="L127" s="340"/>
      <c r="M127" s="341"/>
    </row>
    <row r="128" spans="1:13" x14ac:dyDescent="0.35">
      <c r="A128" s="57">
        <v>123</v>
      </c>
      <c r="B128" s="58">
        <v>45961</v>
      </c>
      <c r="C128" s="58">
        <v>45961</v>
      </c>
      <c r="D128" s="59">
        <v>0.33333333333333331</v>
      </c>
      <c r="E128" s="59">
        <v>0.83333333333333337</v>
      </c>
      <c r="F128" s="339"/>
      <c r="G128" s="340"/>
      <c r="H128" s="340"/>
      <c r="I128" s="340"/>
      <c r="J128" s="340"/>
      <c r="K128" s="340"/>
      <c r="L128" s="340"/>
      <c r="M128" s="341"/>
    </row>
    <row r="129" spans="1:13" x14ac:dyDescent="0.35">
      <c r="A129" s="57">
        <v>124</v>
      </c>
      <c r="B129" s="58">
        <v>45961</v>
      </c>
      <c r="C129" s="58">
        <v>45961</v>
      </c>
      <c r="D129" s="59">
        <v>0.33333333333333331</v>
      </c>
      <c r="E129" s="59">
        <v>0.83333333333333337</v>
      </c>
      <c r="F129" s="339"/>
      <c r="G129" s="340"/>
      <c r="H129" s="340"/>
      <c r="I129" s="340"/>
      <c r="J129" s="340"/>
      <c r="K129" s="340"/>
      <c r="L129" s="340"/>
      <c r="M129" s="341"/>
    </row>
    <row r="130" spans="1:13" x14ac:dyDescent="0.35">
      <c r="A130" s="57">
        <v>125</v>
      </c>
      <c r="B130" s="58">
        <v>45961</v>
      </c>
      <c r="C130" s="58">
        <v>45962</v>
      </c>
      <c r="D130" s="59">
        <v>0.83333333333333337</v>
      </c>
      <c r="E130" s="59">
        <v>0.33333333333333331</v>
      </c>
      <c r="F130" s="339"/>
      <c r="G130" s="340"/>
      <c r="H130" s="340"/>
      <c r="I130" s="340"/>
      <c r="J130" s="340"/>
      <c r="K130" s="340"/>
      <c r="L130" s="340"/>
      <c r="M130" s="341"/>
    </row>
    <row r="131" spans="1:13" x14ac:dyDescent="0.35">
      <c r="A131" s="57">
        <v>126</v>
      </c>
      <c r="B131" s="58">
        <v>45961</v>
      </c>
      <c r="C131" s="58">
        <v>45962</v>
      </c>
      <c r="D131" s="59">
        <v>0.83333333333333337</v>
      </c>
      <c r="E131" s="59">
        <v>0.33333333333333331</v>
      </c>
      <c r="F131" s="342"/>
      <c r="G131" s="343"/>
      <c r="H131" s="343"/>
      <c r="I131" s="343"/>
      <c r="J131" s="343"/>
      <c r="K131" s="343"/>
      <c r="L131" s="343"/>
      <c r="M131" s="344"/>
    </row>
    <row r="132" spans="1:13" s="7" customFormat="1" x14ac:dyDescent="0.35">
      <c r="A132" s="30"/>
      <c r="B132" s="30"/>
      <c r="C132" s="30"/>
      <c r="D132" s="56"/>
      <c r="E132" s="56"/>
      <c r="F132" s="67">
        <f>SUM(F5:F129)</f>
        <v>57024200</v>
      </c>
      <c r="G132" s="68">
        <f>SUM(G5:G129)</f>
        <v>57024200</v>
      </c>
      <c r="H132" s="56"/>
      <c r="I132" s="56"/>
      <c r="J132" s="56"/>
      <c r="K132" s="56"/>
      <c r="L132" s="56"/>
      <c r="M132" s="56"/>
    </row>
  </sheetData>
  <mergeCells count="5">
    <mergeCell ref="F120:M123"/>
    <mergeCell ref="F126:M131"/>
    <mergeCell ref="B2:M2"/>
    <mergeCell ref="B3:M3"/>
    <mergeCell ref="B1:M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4FB81-F84B-46BC-890A-B3075341B6E9}">
  <dimension ref="A1:M126"/>
  <sheetViews>
    <sheetView topLeftCell="A118" workbookViewId="0">
      <selection activeCell="D5" sqref="D5:M16"/>
    </sheetView>
  </sheetViews>
  <sheetFormatPr defaultRowHeight="14.5" x14ac:dyDescent="0.35"/>
  <cols>
    <col min="2" max="2" width="15.26953125" customWidth="1"/>
    <col min="3" max="3" width="13.08984375" customWidth="1"/>
    <col min="4" max="4" width="15" customWidth="1"/>
    <col min="5" max="5" width="14.54296875" customWidth="1"/>
    <col min="6" max="7" width="21.26953125" customWidth="1"/>
    <col min="8" max="8" width="14.08984375" customWidth="1"/>
    <col min="9" max="9" width="21.6328125" style="1" customWidth="1"/>
    <col min="10" max="10" width="23.7265625" style="1" customWidth="1"/>
    <col min="11" max="11" width="16.453125" style="1" customWidth="1"/>
    <col min="12" max="12" width="22.26953125" style="1" customWidth="1"/>
    <col min="13" max="13" width="14.36328125" customWidth="1"/>
  </cols>
  <sheetData>
    <row r="1" spans="1:13" ht="15.5" x14ac:dyDescent="0.35">
      <c r="A1" s="348" t="s">
        <v>50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50"/>
    </row>
    <row r="2" spans="1:13" ht="15.5" x14ac:dyDescent="0.35">
      <c r="A2" s="345">
        <v>45962</v>
      </c>
      <c r="B2" s="346"/>
      <c r="C2" s="346"/>
      <c r="D2" s="346"/>
      <c r="E2" s="346"/>
      <c r="F2" s="346"/>
      <c r="G2" s="346"/>
      <c r="H2" s="346"/>
      <c r="I2" s="346"/>
      <c r="J2" s="346"/>
      <c r="K2" s="346"/>
      <c r="L2" s="347"/>
    </row>
    <row r="3" spans="1:13" ht="15.5" x14ac:dyDescent="0.35">
      <c r="A3" s="348" t="s">
        <v>51</v>
      </c>
      <c r="B3" s="349"/>
      <c r="C3" s="349"/>
      <c r="D3" s="349"/>
      <c r="E3" s="349"/>
      <c r="F3" s="349"/>
      <c r="G3" s="349"/>
      <c r="H3" s="349"/>
      <c r="I3" s="349"/>
      <c r="J3" s="349"/>
      <c r="K3" s="349"/>
      <c r="L3" s="350"/>
    </row>
    <row r="4" spans="1:13" x14ac:dyDescent="0.35">
      <c r="A4" s="10" t="s">
        <v>52</v>
      </c>
      <c r="B4" s="11" t="s">
        <v>2</v>
      </c>
      <c r="C4" s="12" t="s">
        <v>3</v>
      </c>
      <c r="D4" s="12" t="s">
        <v>0</v>
      </c>
      <c r="E4" s="12" t="s">
        <v>1</v>
      </c>
      <c r="F4" s="13" t="s">
        <v>10</v>
      </c>
      <c r="G4" s="14" t="s">
        <v>9</v>
      </c>
      <c r="H4" s="14" t="s">
        <v>11</v>
      </c>
      <c r="I4" s="15" t="s">
        <v>18</v>
      </c>
      <c r="J4" s="12" t="s">
        <v>17</v>
      </c>
      <c r="K4" s="11" t="s">
        <v>5</v>
      </c>
      <c r="L4" s="12" t="s">
        <v>8</v>
      </c>
      <c r="M4" s="17" t="s">
        <v>6</v>
      </c>
    </row>
    <row r="5" spans="1:13" x14ac:dyDescent="0.35">
      <c r="A5" s="69">
        <v>1</v>
      </c>
      <c r="B5" s="70">
        <v>45962</v>
      </c>
      <c r="C5" s="70">
        <v>45962</v>
      </c>
      <c r="D5" s="351" t="s">
        <v>138</v>
      </c>
      <c r="E5" s="352"/>
      <c r="F5" s="352"/>
      <c r="G5" s="352"/>
      <c r="H5" s="352"/>
      <c r="I5" s="352"/>
      <c r="J5" s="352"/>
      <c r="K5" s="352"/>
      <c r="L5" s="352"/>
      <c r="M5" s="353"/>
    </row>
    <row r="6" spans="1:13" x14ac:dyDescent="0.35">
      <c r="A6" s="69">
        <v>2</v>
      </c>
      <c r="B6" s="70">
        <v>45962</v>
      </c>
      <c r="C6" s="70">
        <v>45962</v>
      </c>
      <c r="D6" s="354"/>
      <c r="E6" s="355"/>
      <c r="F6" s="355"/>
      <c r="G6" s="355"/>
      <c r="H6" s="355"/>
      <c r="I6" s="355"/>
      <c r="J6" s="355"/>
      <c r="K6" s="355"/>
      <c r="L6" s="355"/>
      <c r="M6" s="356"/>
    </row>
    <row r="7" spans="1:13" x14ac:dyDescent="0.35">
      <c r="A7" s="69">
        <v>3</v>
      </c>
      <c r="B7" s="70">
        <v>45962</v>
      </c>
      <c r="C7" s="70">
        <v>45963</v>
      </c>
      <c r="D7" s="354"/>
      <c r="E7" s="355"/>
      <c r="F7" s="355"/>
      <c r="G7" s="355"/>
      <c r="H7" s="355"/>
      <c r="I7" s="355"/>
      <c r="J7" s="355"/>
      <c r="K7" s="355"/>
      <c r="L7" s="355"/>
      <c r="M7" s="356"/>
    </row>
    <row r="8" spans="1:13" x14ac:dyDescent="0.35">
      <c r="A8" s="69">
        <v>4</v>
      </c>
      <c r="B8" s="70">
        <v>45962</v>
      </c>
      <c r="C8" s="70">
        <v>45963</v>
      </c>
      <c r="D8" s="354"/>
      <c r="E8" s="355"/>
      <c r="F8" s="355"/>
      <c r="G8" s="355"/>
      <c r="H8" s="355"/>
      <c r="I8" s="355"/>
      <c r="J8" s="355"/>
      <c r="K8" s="355"/>
      <c r="L8" s="355"/>
      <c r="M8" s="356"/>
    </row>
    <row r="9" spans="1:13" x14ac:dyDescent="0.35">
      <c r="A9" s="69">
        <v>5</v>
      </c>
      <c r="B9" s="70">
        <v>45963</v>
      </c>
      <c r="C9" s="70">
        <v>45963</v>
      </c>
      <c r="D9" s="354"/>
      <c r="E9" s="355"/>
      <c r="F9" s="355"/>
      <c r="G9" s="355"/>
      <c r="H9" s="355"/>
      <c r="I9" s="355"/>
      <c r="J9" s="355"/>
      <c r="K9" s="355"/>
      <c r="L9" s="355"/>
      <c r="M9" s="356"/>
    </row>
    <row r="10" spans="1:13" x14ac:dyDescent="0.35">
      <c r="A10" s="73">
        <v>7</v>
      </c>
      <c r="B10" s="70">
        <v>45963</v>
      </c>
      <c r="C10" s="70">
        <v>45963</v>
      </c>
      <c r="D10" s="354"/>
      <c r="E10" s="355"/>
      <c r="F10" s="355"/>
      <c r="G10" s="355"/>
      <c r="H10" s="355"/>
      <c r="I10" s="355"/>
      <c r="J10" s="355"/>
      <c r="K10" s="355"/>
      <c r="L10" s="355"/>
      <c r="M10" s="356"/>
    </row>
    <row r="11" spans="1:13" x14ac:dyDescent="0.35">
      <c r="A11" s="73">
        <v>8</v>
      </c>
      <c r="B11" s="70">
        <v>45963</v>
      </c>
      <c r="C11" s="70">
        <v>45964</v>
      </c>
      <c r="D11" s="354"/>
      <c r="E11" s="355"/>
      <c r="F11" s="355"/>
      <c r="G11" s="355"/>
      <c r="H11" s="355"/>
      <c r="I11" s="355"/>
      <c r="J11" s="355"/>
      <c r="K11" s="355"/>
      <c r="L11" s="355"/>
      <c r="M11" s="356"/>
    </row>
    <row r="12" spans="1:13" x14ac:dyDescent="0.35">
      <c r="A12" s="73">
        <v>9</v>
      </c>
      <c r="B12" s="70">
        <v>45963</v>
      </c>
      <c r="C12" s="70">
        <v>45964</v>
      </c>
      <c r="D12" s="354"/>
      <c r="E12" s="355"/>
      <c r="F12" s="355"/>
      <c r="G12" s="355"/>
      <c r="H12" s="355"/>
      <c r="I12" s="355"/>
      <c r="J12" s="355"/>
      <c r="K12" s="355"/>
      <c r="L12" s="355"/>
      <c r="M12" s="356"/>
    </row>
    <row r="13" spans="1:13" x14ac:dyDescent="0.35">
      <c r="A13" s="73">
        <v>10</v>
      </c>
      <c r="B13" s="70">
        <v>45964</v>
      </c>
      <c r="C13" s="70">
        <v>45964</v>
      </c>
      <c r="D13" s="354"/>
      <c r="E13" s="355"/>
      <c r="F13" s="355"/>
      <c r="G13" s="355"/>
      <c r="H13" s="355"/>
      <c r="I13" s="355"/>
      <c r="J13" s="355"/>
      <c r="K13" s="355"/>
      <c r="L13" s="355"/>
      <c r="M13" s="356"/>
    </row>
    <row r="14" spans="1:13" x14ac:dyDescent="0.35">
      <c r="A14" s="73">
        <v>11</v>
      </c>
      <c r="B14" s="70">
        <v>45964</v>
      </c>
      <c r="C14" s="70">
        <v>45964</v>
      </c>
      <c r="D14" s="354"/>
      <c r="E14" s="355"/>
      <c r="F14" s="355"/>
      <c r="G14" s="355"/>
      <c r="H14" s="355"/>
      <c r="I14" s="355"/>
      <c r="J14" s="355"/>
      <c r="K14" s="355"/>
      <c r="L14" s="355"/>
      <c r="M14" s="356"/>
    </row>
    <row r="15" spans="1:13" x14ac:dyDescent="0.35">
      <c r="A15" s="73">
        <v>12</v>
      </c>
      <c r="B15" s="70">
        <v>45964</v>
      </c>
      <c r="C15" s="70">
        <v>45965</v>
      </c>
      <c r="D15" s="354"/>
      <c r="E15" s="355"/>
      <c r="F15" s="355"/>
      <c r="G15" s="355"/>
      <c r="H15" s="355"/>
      <c r="I15" s="355"/>
      <c r="J15" s="355"/>
      <c r="K15" s="355"/>
      <c r="L15" s="355"/>
      <c r="M15" s="356"/>
    </row>
    <row r="16" spans="1:13" x14ac:dyDescent="0.35">
      <c r="A16" s="73">
        <v>13</v>
      </c>
      <c r="B16" s="70">
        <v>45964</v>
      </c>
      <c r="C16" s="70">
        <v>45965</v>
      </c>
      <c r="D16" s="357"/>
      <c r="E16" s="358"/>
      <c r="F16" s="358"/>
      <c r="G16" s="358"/>
      <c r="H16" s="358"/>
      <c r="I16" s="358"/>
      <c r="J16" s="358"/>
      <c r="K16" s="358"/>
      <c r="L16" s="358"/>
      <c r="M16" s="359"/>
    </row>
    <row r="17" spans="1:13" x14ac:dyDescent="0.35">
      <c r="A17" s="73">
        <v>14</v>
      </c>
      <c r="B17" s="70">
        <v>45965</v>
      </c>
      <c r="C17" s="70">
        <v>45965</v>
      </c>
      <c r="D17" s="79">
        <v>0.33333333333333331</v>
      </c>
      <c r="E17" s="79">
        <v>0.83333333333333337</v>
      </c>
      <c r="F17" s="76">
        <v>71000</v>
      </c>
      <c r="G17" s="76">
        <v>71000</v>
      </c>
      <c r="H17" s="82" t="s">
        <v>12</v>
      </c>
      <c r="I17" s="80">
        <v>987262746896</v>
      </c>
      <c r="J17" s="80">
        <v>925309380260093</v>
      </c>
      <c r="K17" s="73" t="s">
        <v>19</v>
      </c>
      <c r="L17" s="73" t="s">
        <v>27</v>
      </c>
      <c r="M17" s="71" t="s">
        <v>21</v>
      </c>
    </row>
    <row r="18" spans="1:13" x14ac:dyDescent="0.35">
      <c r="A18" s="73">
        <v>15</v>
      </c>
      <c r="B18" s="70">
        <v>45965</v>
      </c>
      <c r="C18" s="70">
        <v>45965</v>
      </c>
      <c r="D18" s="79">
        <v>0.33333333333333331</v>
      </c>
      <c r="E18" s="79">
        <v>0.83333333333333337</v>
      </c>
      <c r="F18" s="76">
        <v>18000</v>
      </c>
      <c r="G18" s="76">
        <v>18000</v>
      </c>
      <c r="H18" s="82" t="s">
        <v>12</v>
      </c>
      <c r="I18" s="80">
        <v>987262746896</v>
      </c>
      <c r="J18" s="80">
        <v>925309380260093</v>
      </c>
      <c r="K18" s="73" t="s">
        <v>16</v>
      </c>
      <c r="L18" s="73" t="s">
        <v>27</v>
      </c>
      <c r="M18" s="71" t="s">
        <v>13</v>
      </c>
    </row>
    <row r="19" spans="1:13" x14ac:dyDescent="0.35">
      <c r="A19" s="73">
        <v>16</v>
      </c>
      <c r="B19" s="70">
        <v>45965</v>
      </c>
      <c r="C19" s="70">
        <v>45966</v>
      </c>
      <c r="D19" s="79">
        <v>0.83333333333333337</v>
      </c>
      <c r="E19" s="79">
        <v>0.33333333333333331</v>
      </c>
      <c r="F19" s="360" t="s">
        <v>139</v>
      </c>
      <c r="G19" s="360"/>
      <c r="H19" s="360"/>
      <c r="I19" s="360"/>
      <c r="J19" s="360"/>
      <c r="K19" s="360"/>
      <c r="L19" s="360"/>
      <c r="M19" s="71" t="s">
        <v>21</v>
      </c>
    </row>
    <row r="20" spans="1:13" x14ac:dyDescent="0.35">
      <c r="A20" s="73">
        <v>17</v>
      </c>
      <c r="B20" s="70">
        <v>45965</v>
      </c>
      <c r="C20" s="70">
        <v>45966</v>
      </c>
      <c r="D20" s="79">
        <v>0.83333333333333337</v>
      </c>
      <c r="E20" s="79">
        <v>0.33333333333333331</v>
      </c>
      <c r="F20" s="360"/>
      <c r="G20" s="360"/>
      <c r="H20" s="360"/>
      <c r="I20" s="360"/>
      <c r="J20" s="360"/>
      <c r="K20" s="360"/>
      <c r="L20" s="360"/>
      <c r="M20" s="71" t="s">
        <v>13</v>
      </c>
    </row>
    <row r="21" spans="1:13" x14ac:dyDescent="0.35">
      <c r="A21" s="73">
        <v>18</v>
      </c>
      <c r="B21" s="70">
        <v>45966</v>
      </c>
      <c r="C21" s="70">
        <v>45966</v>
      </c>
      <c r="D21" s="79">
        <v>0.33333333333333331</v>
      </c>
      <c r="E21" s="79">
        <v>0.83333333333333337</v>
      </c>
      <c r="F21" s="76">
        <v>170000</v>
      </c>
      <c r="G21" s="76">
        <v>170000</v>
      </c>
      <c r="H21" s="82" t="s">
        <v>12</v>
      </c>
      <c r="I21" s="80">
        <v>987262754371</v>
      </c>
      <c r="J21" s="80">
        <v>925310380580277</v>
      </c>
      <c r="K21" s="73" t="s">
        <v>16</v>
      </c>
      <c r="L21" s="73" t="s">
        <v>27</v>
      </c>
      <c r="M21" s="71" t="s">
        <v>21</v>
      </c>
    </row>
    <row r="22" spans="1:13" x14ac:dyDescent="0.35">
      <c r="A22" s="73">
        <v>19</v>
      </c>
      <c r="B22" s="70">
        <v>45966</v>
      </c>
      <c r="C22" s="70">
        <v>45966</v>
      </c>
      <c r="D22" s="79">
        <v>0.33333333333333331</v>
      </c>
      <c r="E22" s="79">
        <v>0.83333333333333337</v>
      </c>
      <c r="F22" s="76">
        <v>719000</v>
      </c>
      <c r="G22" s="76">
        <v>719000</v>
      </c>
      <c r="H22" s="82" t="s">
        <v>12</v>
      </c>
      <c r="I22" s="80">
        <v>987262754371</v>
      </c>
      <c r="J22" s="80">
        <v>925310380580277</v>
      </c>
      <c r="K22" s="73" t="s">
        <v>15</v>
      </c>
      <c r="L22" s="73" t="s">
        <v>27</v>
      </c>
      <c r="M22" s="71" t="s">
        <v>13</v>
      </c>
    </row>
    <row r="23" spans="1:13" x14ac:dyDescent="0.35">
      <c r="A23" s="73">
        <v>20</v>
      </c>
      <c r="B23" s="70">
        <v>45966</v>
      </c>
      <c r="C23" s="70">
        <v>45967</v>
      </c>
      <c r="D23" s="79">
        <v>0.83333333333333337</v>
      </c>
      <c r="E23" s="79">
        <v>0.33333333333333331</v>
      </c>
      <c r="F23" s="76">
        <v>23000</v>
      </c>
      <c r="G23" s="76">
        <v>23000</v>
      </c>
      <c r="H23" s="82" t="s">
        <v>12</v>
      </c>
      <c r="I23" s="80">
        <v>987262754371</v>
      </c>
      <c r="J23" s="80">
        <v>925310380580277</v>
      </c>
      <c r="K23" s="73" t="s">
        <v>19</v>
      </c>
      <c r="L23" s="73" t="s">
        <v>27</v>
      </c>
      <c r="M23" s="71" t="s">
        <v>21</v>
      </c>
    </row>
    <row r="24" spans="1:13" x14ac:dyDescent="0.35">
      <c r="A24" s="73">
        <v>21</v>
      </c>
      <c r="B24" s="70">
        <v>45966</v>
      </c>
      <c r="C24" s="70">
        <v>45967</v>
      </c>
      <c r="D24" s="79">
        <v>0.83333333333333337</v>
      </c>
      <c r="E24" s="79">
        <v>0.33333333333333331</v>
      </c>
      <c r="F24" s="76">
        <v>156000</v>
      </c>
      <c r="G24" s="76">
        <v>156000</v>
      </c>
      <c r="H24" s="82" t="s">
        <v>12</v>
      </c>
      <c r="I24" s="80">
        <v>987262754371</v>
      </c>
      <c r="J24" s="80">
        <v>925310380580277</v>
      </c>
      <c r="K24" s="73" t="s">
        <v>140</v>
      </c>
      <c r="L24" s="73" t="s">
        <v>27</v>
      </c>
      <c r="M24" s="71" t="s">
        <v>13</v>
      </c>
    </row>
    <row r="25" spans="1:13" x14ac:dyDescent="0.35">
      <c r="A25" s="73">
        <v>22</v>
      </c>
      <c r="B25" s="70">
        <v>45967</v>
      </c>
      <c r="C25" s="70">
        <v>45967</v>
      </c>
      <c r="D25" s="79">
        <v>0.33333333333333331</v>
      </c>
      <c r="E25" s="79">
        <v>0.83333333333333337</v>
      </c>
      <c r="F25" s="76">
        <v>193000</v>
      </c>
      <c r="G25" s="76">
        <v>193000</v>
      </c>
      <c r="H25" s="82" t="s">
        <v>12</v>
      </c>
      <c r="I25" s="80">
        <v>987262784217</v>
      </c>
      <c r="J25" s="80">
        <v>925314381429468</v>
      </c>
      <c r="K25" s="83" t="s">
        <v>25</v>
      </c>
      <c r="L25" s="73" t="s">
        <v>27</v>
      </c>
      <c r="M25" s="71" t="s">
        <v>21</v>
      </c>
    </row>
    <row r="26" spans="1:13" x14ac:dyDescent="0.35">
      <c r="A26" s="73">
        <v>23</v>
      </c>
      <c r="B26" s="70">
        <v>45967</v>
      </c>
      <c r="C26" s="70">
        <v>45967</v>
      </c>
      <c r="D26" s="79">
        <v>0.33333333333333331</v>
      </c>
      <c r="E26" s="79">
        <v>0.83333333333333337</v>
      </c>
      <c r="F26" s="76">
        <v>856000</v>
      </c>
      <c r="G26" s="76">
        <v>856000</v>
      </c>
      <c r="H26" s="82" t="s">
        <v>12</v>
      </c>
      <c r="I26" s="80">
        <v>987262784217</v>
      </c>
      <c r="J26" s="80">
        <v>925314381429468</v>
      </c>
      <c r="K26" s="83" t="s">
        <v>24</v>
      </c>
      <c r="L26" s="73" t="s">
        <v>27</v>
      </c>
      <c r="M26" s="71" t="s">
        <v>13</v>
      </c>
    </row>
    <row r="27" spans="1:13" x14ac:dyDescent="0.35">
      <c r="A27" s="73">
        <v>24</v>
      </c>
      <c r="B27" s="70">
        <v>45967</v>
      </c>
      <c r="C27" s="70">
        <v>45968</v>
      </c>
      <c r="D27" s="79">
        <v>0.83333333333333337</v>
      </c>
      <c r="E27" s="79">
        <v>0.33333333333333331</v>
      </c>
      <c r="F27" s="76">
        <v>59000</v>
      </c>
      <c r="G27" s="76">
        <v>59000</v>
      </c>
      <c r="H27" s="82" t="s">
        <v>12</v>
      </c>
      <c r="I27" s="80">
        <v>987262784217</v>
      </c>
      <c r="J27" s="80">
        <v>925314381429468</v>
      </c>
      <c r="K27" s="73" t="s">
        <v>16</v>
      </c>
      <c r="L27" s="73" t="s">
        <v>27</v>
      </c>
      <c r="M27" s="71" t="s">
        <v>21</v>
      </c>
    </row>
    <row r="28" spans="1:13" x14ac:dyDescent="0.35">
      <c r="A28" s="73">
        <v>25</v>
      </c>
      <c r="B28" s="70">
        <v>45967</v>
      </c>
      <c r="C28" s="70">
        <v>45968</v>
      </c>
      <c r="D28" s="79">
        <v>0.83333333333333337</v>
      </c>
      <c r="E28" s="79">
        <v>0.33333333333333331</v>
      </c>
      <c r="F28" s="76">
        <v>417000</v>
      </c>
      <c r="G28" s="76">
        <v>417000</v>
      </c>
      <c r="H28" s="82" t="s">
        <v>12</v>
      </c>
      <c r="I28" s="80">
        <v>987262784217</v>
      </c>
      <c r="J28" s="80">
        <v>925314381429468</v>
      </c>
      <c r="K28" s="73" t="s">
        <v>15</v>
      </c>
      <c r="L28" s="73" t="s">
        <v>27</v>
      </c>
      <c r="M28" s="71" t="s">
        <v>13</v>
      </c>
    </row>
    <row r="29" spans="1:13" x14ac:dyDescent="0.35">
      <c r="A29" s="73">
        <v>26</v>
      </c>
      <c r="B29" s="70">
        <v>45968</v>
      </c>
      <c r="C29" s="70">
        <v>45968</v>
      </c>
      <c r="D29" s="79">
        <v>0.33333333333333331</v>
      </c>
      <c r="E29" s="79">
        <v>0.83333333333333337</v>
      </c>
      <c r="F29" s="76">
        <v>256000</v>
      </c>
      <c r="G29" s="76">
        <v>256000</v>
      </c>
      <c r="H29" s="82" t="s">
        <v>12</v>
      </c>
      <c r="I29" s="80">
        <v>987262784224</v>
      </c>
      <c r="J29" s="80">
        <v>925314381428352</v>
      </c>
      <c r="K29" s="84" t="s">
        <v>25</v>
      </c>
      <c r="L29" s="73" t="s">
        <v>27</v>
      </c>
      <c r="M29" s="71" t="s">
        <v>21</v>
      </c>
    </row>
    <row r="30" spans="1:13" x14ac:dyDescent="0.35">
      <c r="A30" s="73">
        <v>27</v>
      </c>
      <c r="B30" s="70">
        <v>45968</v>
      </c>
      <c r="C30" s="70">
        <v>45968</v>
      </c>
      <c r="D30" s="79">
        <v>0.33333333333333331</v>
      </c>
      <c r="E30" s="79">
        <v>0.83333333333333337</v>
      </c>
      <c r="F30" s="76">
        <v>899000</v>
      </c>
      <c r="G30" s="76">
        <v>899000</v>
      </c>
      <c r="H30" s="82" t="s">
        <v>12</v>
      </c>
      <c r="I30" s="80">
        <v>987262784224</v>
      </c>
      <c r="J30" s="80">
        <v>925314381428352</v>
      </c>
      <c r="K30" s="73" t="s">
        <v>24</v>
      </c>
      <c r="L30" s="73" t="s">
        <v>27</v>
      </c>
      <c r="M30" s="71" t="s">
        <v>13</v>
      </c>
    </row>
    <row r="31" spans="1:13" x14ac:dyDescent="0.35">
      <c r="A31" s="73">
        <v>28</v>
      </c>
      <c r="B31" s="70">
        <v>45968</v>
      </c>
      <c r="C31" s="70">
        <v>45969</v>
      </c>
      <c r="D31" s="79">
        <v>0.83333333333333337</v>
      </c>
      <c r="E31" s="79">
        <v>0.33333333333333331</v>
      </c>
      <c r="F31" s="76">
        <v>170000</v>
      </c>
      <c r="G31" s="76">
        <v>170000</v>
      </c>
      <c r="H31" s="82" t="s">
        <v>12</v>
      </c>
      <c r="I31" s="80">
        <v>987262784224</v>
      </c>
      <c r="J31" s="80">
        <v>925314381428352</v>
      </c>
      <c r="K31" s="73" t="s">
        <v>16</v>
      </c>
      <c r="L31" s="73" t="s">
        <v>27</v>
      </c>
      <c r="M31" s="71" t="s">
        <v>21</v>
      </c>
    </row>
    <row r="32" spans="1:13" x14ac:dyDescent="0.35">
      <c r="A32" s="73">
        <v>29</v>
      </c>
      <c r="B32" s="70">
        <v>45968</v>
      </c>
      <c r="C32" s="70">
        <v>45969</v>
      </c>
      <c r="D32" s="79">
        <v>0.83333333333333337</v>
      </c>
      <c r="E32" s="79">
        <v>0.33333333333333331</v>
      </c>
      <c r="F32" s="76">
        <v>487000</v>
      </c>
      <c r="G32" s="76">
        <v>487000</v>
      </c>
      <c r="H32" s="82" t="s">
        <v>12</v>
      </c>
      <c r="I32" s="80">
        <v>987262784224</v>
      </c>
      <c r="J32" s="80">
        <v>925314381428352</v>
      </c>
      <c r="K32" s="73" t="s">
        <v>15</v>
      </c>
      <c r="L32" s="73" t="s">
        <v>27</v>
      </c>
      <c r="M32" s="71" t="s">
        <v>13</v>
      </c>
    </row>
    <row r="33" spans="1:13" x14ac:dyDescent="0.35">
      <c r="A33" s="73">
        <v>30</v>
      </c>
      <c r="B33" s="70">
        <v>45969</v>
      </c>
      <c r="C33" s="70">
        <v>45969</v>
      </c>
      <c r="D33" s="79">
        <v>0.33333333333333331</v>
      </c>
      <c r="E33" s="79">
        <v>0.83333333333333337</v>
      </c>
      <c r="F33" s="76">
        <v>224000</v>
      </c>
      <c r="G33" s="76">
        <v>224000</v>
      </c>
      <c r="H33" s="82" t="s">
        <v>12</v>
      </c>
      <c r="I33" s="80">
        <v>987262785193</v>
      </c>
      <c r="J33" s="80">
        <v>925314381530219</v>
      </c>
      <c r="K33" s="73" t="s">
        <v>19</v>
      </c>
      <c r="L33" s="73" t="s">
        <v>27</v>
      </c>
      <c r="M33" s="71" t="s">
        <v>21</v>
      </c>
    </row>
    <row r="34" spans="1:13" x14ac:dyDescent="0.35">
      <c r="A34" s="73">
        <v>31</v>
      </c>
      <c r="B34" s="70">
        <v>45969</v>
      </c>
      <c r="C34" s="70">
        <v>45969</v>
      </c>
      <c r="D34" s="79">
        <v>0.33333333333333331</v>
      </c>
      <c r="E34" s="79">
        <v>0.83333333333333337</v>
      </c>
      <c r="F34" s="76">
        <v>862000</v>
      </c>
      <c r="G34" s="76">
        <v>862000</v>
      </c>
      <c r="H34" s="82" t="s">
        <v>12</v>
      </c>
      <c r="I34" s="80">
        <v>987262785193</v>
      </c>
      <c r="J34" s="80">
        <v>925314381530219</v>
      </c>
      <c r="K34" s="73" t="s">
        <v>140</v>
      </c>
      <c r="L34" s="73" t="s">
        <v>27</v>
      </c>
      <c r="M34" s="71" t="s">
        <v>13</v>
      </c>
    </row>
    <row r="35" spans="1:13" x14ac:dyDescent="0.35">
      <c r="A35" s="73">
        <v>32</v>
      </c>
      <c r="B35" s="70">
        <v>45969</v>
      </c>
      <c r="C35" s="70">
        <v>45970</v>
      </c>
      <c r="D35" s="79">
        <v>0.83333333333333337</v>
      </c>
      <c r="E35" s="79">
        <v>0.33333333333333331</v>
      </c>
      <c r="F35" s="76">
        <v>102000</v>
      </c>
      <c r="G35" s="76">
        <v>102000</v>
      </c>
      <c r="H35" s="82" t="s">
        <v>12</v>
      </c>
      <c r="I35" s="80">
        <v>987262785193</v>
      </c>
      <c r="J35" s="80">
        <v>925314381530219</v>
      </c>
      <c r="K35" s="73" t="s">
        <v>25</v>
      </c>
      <c r="L35" s="73" t="s">
        <v>27</v>
      </c>
      <c r="M35" s="71" t="s">
        <v>21</v>
      </c>
    </row>
    <row r="36" spans="1:13" x14ac:dyDescent="0.35">
      <c r="A36" s="73">
        <v>33</v>
      </c>
      <c r="B36" s="70">
        <v>45969</v>
      </c>
      <c r="C36" s="70">
        <v>45970</v>
      </c>
      <c r="D36" s="79">
        <v>0.83333333333333337</v>
      </c>
      <c r="E36" s="79">
        <v>0.33333333333333331</v>
      </c>
      <c r="F36" s="76">
        <v>415000</v>
      </c>
      <c r="G36" s="76">
        <v>415000</v>
      </c>
      <c r="H36" s="82" t="s">
        <v>12</v>
      </c>
      <c r="I36" s="80">
        <v>987262785193</v>
      </c>
      <c r="J36" s="80">
        <v>925314381530219</v>
      </c>
      <c r="K36" s="73" t="s">
        <v>24</v>
      </c>
      <c r="L36" s="73" t="s">
        <v>27</v>
      </c>
      <c r="M36" s="71" t="s">
        <v>13</v>
      </c>
    </row>
    <row r="37" spans="1:13" x14ac:dyDescent="0.35">
      <c r="A37" s="73">
        <v>34</v>
      </c>
      <c r="B37" s="70">
        <v>45970</v>
      </c>
      <c r="C37" s="70">
        <v>45970</v>
      </c>
      <c r="D37" s="79">
        <v>0.33333333333333331</v>
      </c>
      <c r="E37" s="79">
        <v>0.83333333333333337</v>
      </c>
      <c r="F37" s="76">
        <v>577000</v>
      </c>
      <c r="G37" s="76">
        <v>577000</v>
      </c>
      <c r="H37" s="82" t="s">
        <v>12</v>
      </c>
      <c r="I37" s="80">
        <v>987262795847</v>
      </c>
      <c r="J37" s="80">
        <v>925316382006269</v>
      </c>
      <c r="K37" s="73" t="s">
        <v>19</v>
      </c>
      <c r="L37" s="73" t="s">
        <v>27</v>
      </c>
      <c r="M37" s="71" t="s">
        <v>21</v>
      </c>
    </row>
    <row r="38" spans="1:13" x14ac:dyDescent="0.35">
      <c r="A38" s="73">
        <v>35</v>
      </c>
      <c r="B38" s="70">
        <v>45970</v>
      </c>
      <c r="C38" s="70">
        <v>45970</v>
      </c>
      <c r="D38" s="79">
        <v>0.33333333333333331</v>
      </c>
      <c r="E38" s="79">
        <v>0.83333333333333337</v>
      </c>
      <c r="F38" s="76">
        <v>1009000</v>
      </c>
      <c r="G38" s="76">
        <v>1009000</v>
      </c>
      <c r="H38" s="82" t="s">
        <v>12</v>
      </c>
      <c r="I38" s="80">
        <v>987262795847</v>
      </c>
      <c r="J38" s="80">
        <v>925316382006269</v>
      </c>
      <c r="K38" s="73" t="s">
        <v>140</v>
      </c>
      <c r="L38" s="73" t="s">
        <v>27</v>
      </c>
      <c r="M38" s="71" t="s">
        <v>13</v>
      </c>
    </row>
    <row r="39" spans="1:13" x14ac:dyDescent="0.35">
      <c r="A39" s="73">
        <v>36</v>
      </c>
      <c r="B39" s="70">
        <v>45970</v>
      </c>
      <c r="C39" s="70">
        <v>45971</v>
      </c>
      <c r="D39" s="79">
        <v>0.83333333333333337</v>
      </c>
      <c r="E39" s="79">
        <v>0.33333333333333331</v>
      </c>
      <c r="F39" s="76">
        <v>6000</v>
      </c>
      <c r="G39" s="76">
        <v>6000</v>
      </c>
      <c r="H39" s="82" t="s">
        <v>12</v>
      </c>
      <c r="I39" s="80">
        <v>987262795847</v>
      </c>
      <c r="J39" s="80">
        <v>925316382006269</v>
      </c>
      <c r="K39" s="73" t="s">
        <v>25</v>
      </c>
      <c r="L39" s="73" t="s">
        <v>27</v>
      </c>
      <c r="M39" s="71" t="s">
        <v>21</v>
      </c>
    </row>
    <row r="40" spans="1:13" x14ac:dyDescent="0.35">
      <c r="A40" s="73">
        <v>37</v>
      </c>
      <c r="B40" s="70">
        <v>45970</v>
      </c>
      <c r="C40" s="70">
        <v>45971</v>
      </c>
      <c r="D40" s="79">
        <v>0.83333333333333337</v>
      </c>
      <c r="E40" s="79">
        <v>0.33333333333333331</v>
      </c>
      <c r="F40" s="76">
        <v>665000</v>
      </c>
      <c r="G40" s="76">
        <v>665000</v>
      </c>
      <c r="H40" s="82" t="s">
        <v>12</v>
      </c>
      <c r="I40" s="80">
        <v>987262795847</v>
      </c>
      <c r="J40" s="80">
        <v>925316382006269</v>
      </c>
      <c r="K40" s="73" t="s">
        <v>24</v>
      </c>
      <c r="L40" s="73" t="s">
        <v>27</v>
      </c>
      <c r="M40" s="71" t="s">
        <v>13</v>
      </c>
    </row>
    <row r="41" spans="1:13" x14ac:dyDescent="0.35">
      <c r="A41" s="73">
        <v>38</v>
      </c>
      <c r="B41" s="70">
        <v>45971</v>
      </c>
      <c r="C41" s="70">
        <v>45971</v>
      </c>
      <c r="D41" s="79">
        <v>0.33333333333333331</v>
      </c>
      <c r="E41" s="79">
        <v>0.83333333333333337</v>
      </c>
      <c r="F41" s="76">
        <v>293000</v>
      </c>
      <c r="G41" s="76">
        <v>293000</v>
      </c>
      <c r="H41" s="82" t="s">
        <v>12</v>
      </c>
      <c r="I41" s="80">
        <v>987262795865</v>
      </c>
      <c r="J41" s="80">
        <v>925316382006086</v>
      </c>
      <c r="K41" s="73" t="s">
        <v>16</v>
      </c>
      <c r="L41" s="73" t="s">
        <v>27</v>
      </c>
      <c r="M41" s="71" t="s">
        <v>21</v>
      </c>
    </row>
    <row r="42" spans="1:13" x14ac:dyDescent="0.35">
      <c r="A42" s="73">
        <v>39</v>
      </c>
      <c r="B42" s="70">
        <v>45971</v>
      </c>
      <c r="C42" s="70">
        <v>45971</v>
      </c>
      <c r="D42" s="79">
        <v>0.33333333333333331</v>
      </c>
      <c r="E42" s="79">
        <v>0.83333333333333337</v>
      </c>
      <c r="F42" s="76">
        <v>1240000</v>
      </c>
      <c r="G42" s="76">
        <v>1240000</v>
      </c>
      <c r="H42" s="82" t="s">
        <v>12</v>
      </c>
      <c r="I42" s="80">
        <v>987262795865</v>
      </c>
      <c r="J42" s="80">
        <v>925316382006086</v>
      </c>
      <c r="K42" s="73" t="s">
        <v>15</v>
      </c>
      <c r="L42" s="73" t="s">
        <v>27</v>
      </c>
      <c r="M42" s="71" t="s">
        <v>13</v>
      </c>
    </row>
    <row r="43" spans="1:13" x14ac:dyDescent="0.35">
      <c r="A43" s="73">
        <v>40</v>
      </c>
      <c r="B43" s="70">
        <v>45971</v>
      </c>
      <c r="C43" s="70">
        <v>45972</v>
      </c>
      <c r="D43" s="79">
        <v>0.83333333333333337</v>
      </c>
      <c r="E43" s="79">
        <v>0.33333333333333331</v>
      </c>
      <c r="F43" s="76">
        <v>114000</v>
      </c>
      <c r="G43" s="76">
        <v>114000</v>
      </c>
      <c r="H43" s="82" t="s">
        <v>12</v>
      </c>
      <c r="I43" s="80">
        <v>987262813630</v>
      </c>
      <c r="J43" s="80">
        <v>925318382600563</v>
      </c>
      <c r="K43" s="73" t="s">
        <v>19</v>
      </c>
      <c r="L43" s="73" t="s">
        <v>27</v>
      </c>
      <c r="M43" s="71" t="s">
        <v>21</v>
      </c>
    </row>
    <row r="44" spans="1:13" x14ac:dyDescent="0.35">
      <c r="A44" s="73">
        <v>41</v>
      </c>
      <c r="B44" s="70">
        <v>45971</v>
      </c>
      <c r="C44" s="70">
        <v>45972</v>
      </c>
      <c r="D44" s="79">
        <v>0.83333333333333337</v>
      </c>
      <c r="E44" s="79">
        <v>0.33333333333333331</v>
      </c>
      <c r="F44" s="76">
        <v>379000</v>
      </c>
      <c r="G44" s="76">
        <v>379000</v>
      </c>
      <c r="H44" s="82" t="s">
        <v>12</v>
      </c>
      <c r="I44" s="80">
        <v>987262795865</v>
      </c>
      <c r="J44" s="80">
        <v>925316382006086</v>
      </c>
      <c r="K44" s="73" t="s">
        <v>140</v>
      </c>
      <c r="L44" s="73" t="s">
        <v>27</v>
      </c>
      <c r="M44" s="71" t="s">
        <v>13</v>
      </c>
    </row>
    <row r="45" spans="1:13" x14ac:dyDescent="0.35">
      <c r="A45" s="73">
        <v>42</v>
      </c>
      <c r="B45" s="70">
        <v>45972</v>
      </c>
      <c r="C45" s="70">
        <v>45972</v>
      </c>
      <c r="D45" s="79">
        <v>0.33333333333333331</v>
      </c>
      <c r="E45" s="79">
        <v>0.83333333333333337</v>
      </c>
      <c r="F45" s="76">
        <v>450000</v>
      </c>
      <c r="G45" s="76">
        <v>450000</v>
      </c>
      <c r="H45" s="82" t="s">
        <v>12</v>
      </c>
      <c r="I45" s="80">
        <v>987262802955</v>
      </c>
      <c r="J45" s="80">
        <v>925317382305635</v>
      </c>
      <c r="K45" s="73" t="s">
        <v>16</v>
      </c>
      <c r="L45" s="73" t="s">
        <v>27</v>
      </c>
      <c r="M45" s="71" t="s">
        <v>21</v>
      </c>
    </row>
    <row r="46" spans="1:13" x14ac:dyDescent="0.35">
      <c r="A46" s="73">
        <v>43</v>
      </c>
      <c r="B46" s="70">
        <v>45972</v>
      </c>
      <c r="C46" s="70">
        <v>45972</v>
      </c>
      <c r="D46" s="79">
        <v>0.33333333333333331</v>
      </c>
      <c r="E46" s="79">
        <v>0.83333333333333337</v>
      </c>
      <c r="F46" s="76">
        <v>958000</v>
      </c>
      <c r="G46" s="76">
        <v>958000</v>
      </c>
      <c r="H46" s="82" t="s">
        <v>12</v>
      </c>
      <c r="I46" s="80">
        <v>987262802955</v>
      </c>
      <c r="J46" s="80">
        <v>925317382305635</v>
      </c>
      <c r="K46" s="73" t="s">
        <v>15</v>
      </c>
      <c r="L46" s="73" t="s">
        <v>27</v>
      </c>
      <c r="M46" s="71" t="s">
        <v>13</v>
      </c>
    </row>
    <row r="47" spans="1:13" x14ac:dyDescent="0.35">
      <c r="A47" s="73">
        <v>44</v>
      </c>
      <c r="B47" s="70">
        <v>45972</v>
      </c>
      <c r="C47" s="70">
        <v>45973</v>
      </c>
      <c r="D47" s="79">
        <v>0.83333333333333337</v>
      </c>
      <c r="E47" s="79">
        <v>0.33333333333333331</v>
      </c>
      <c r="F47" s="76">
        <v>92000</v>
      </c>
      <c r="G47" s="76">
        <v>92000</v>
      </c>
      <c r="H47" s="82" t="s">
        <v>12</v>
      </c>
      <c r="I47" s="80">
        <v>987262802955</v>
      </c>
      <c r="J47" s="80">
        <v>925317382305635</v>
      </c>
      <c r="K47" s="73" t="s">
        <v>19</v>
      </c>
      <c r="L47" s="73" t="s">
        <v>27</v>
      </c>
      <c r="M47" s="71" t="s">
        <v>21</v>
      </c>
    </row>
    <row r="48" spans="1:13" x14ac:dyDescent="0.35">
      <c r="A48" s="73">
        <v>45</v>
      </c>
      <c r="B48" s="70">
        <v>45972</v>
      </c>
      <c r="C48" s="70">
        <v>45973</v>
      </c>
      <c r="D48" s="79">
        <v>0.83333333333333337</v>
      </c>
      <c r="E48" s="79">
        <v>0.33333333333333331</v>
      </c>
      <c r="F48" s="76">
        <v>452000</v>
      </c>
      <c r="G48" s="76">
        <v>452000</v>
      </c>
      <c r="H48" s="82" t="s">
        <v>12</v>
      </c>
      <c r="I48" s="80">
        <v>987262802955</v>
      </c>
      <c r="J48" s="80">
        <v>925317382305635</v>
      </c>
      <c r="K48" s="73" t="s">
        <v>140</v>
      </c>
      <c r="L48" s="73" t="s">
        <v>27</v>
      </c>
      <c r="M48" s="71" t="s">
        <v>13</v>
      </c>
    </row>
    <row r="49" spans="1:13" x14ac:dyDescent="0.35">
      <c r="A49" s="73">
        <v>46</v>
      </c>
      <c r="B49" s="70">
        <v>45973</v>
      </c>
      <c r="C49" s="70">
        <v>45973</v>
      </c>
      <c r="D49" s="79">
        <v>0.33333333333333331</v>
      </c>
      <c r="E49" s="79">
        <v>0.83333333333333337</v>
      </c>
      <c r="F49" s="76">
        <v>185000</v>
      </c>
      <c r="G49" s="76">
        <v>185000</v>
      </c>
      <c r="H49" s="82" t="s">
        <v>12</v>
      </c>
      <c r="I49" s="80">
        <v>987262813638</v>
      </c>
      <c r="J49" s="80">
        <v>925318382600727</v>
      </c>
      <c r="K49" s="73" t="s">
        <v>25</v>
      </c>
      <c r="L49" s="73" t="s">
        <v>27</v>
      </c>
      <c r="M49" s="71" t="s">
        <v>21</v>
      </c>
    </row>
    <row r="50" spans="1:13" x14ac:dyDescent="0.35">
      <c r="A50" s="73">
        <v>47</v>
      </c>
      <c r="B50" s="70">
        <v>45973</v>
      </c>
      <c r="C50" s="70">
        <v>45973</v>
      </c>
      <c r="D50" s="79">
        <v>0.33333333333333331</v>
      </c>
      <c r="E50" s="79">
        <v>0.83333333333333337</v>
      </c>
      <c r="F50" s="76">
        <v>1025000</v>
      </c>
      <c r="G50" s="76">
        <v>1025000</v>
      </c>
      <c r="H50" s="82" t="s">
        <v>12</v>
      </c>
      <c r="I50" s="80">
        <v>987262813638</v>
      </c>
      <c r="J50" s="80">
        <v>925318382600727</v>
      </c>
      <c r="K50" s="73" t="s">
        <v>24</v>
      </c>
      <c r="L50" s="73" t="s">
        <v>27</v>
      </c>
      <c r="M50" s="71" t="s">
        <v>13</v>
      </c>
    </row>
    <row r="51" spans="1:13" x14ac:dyDescent="0.35">
      <c r="A51" s="73">
        <v>48</v>
      </c>
      <c r="B51" s="70">
        <v>45973</v>
      </c>
      <c r="C51" s="70">
        <v>45974</v>
      </c>
      <c r="D51" s="79">
        <v>0.83333333333333337</v>
      </c>
      <c r="E51" s="79">
        <v>0.33333333333333331</v>
      </c>
      <c r="F51" s="76">
        <v>141000</v>
      </c>
      <c r="G51" s="76">
        <v>141000</v>
      </c>
      <c r="H51" s="82" t="s">
        <v>12</v>
      </c>
      <c r="I51" s="80">
        <v>987262813638</v>
      </c>
      <c r="J51" s="80">
        <v>925318382600727</v>
      </c>
      <c r="K51" s="73" t="s">
        <v>16</v>
      </c>
      <c r="L51" s="73" t="s">
        <v>27</v>
      </c>
      <c r="M51" s="71" t="s">
        <v>21</v>
      </c>
    </row>
    <row r="52" spans="1:13" x14ac:dyDescent="0.35">
      <c r="A52" s="73">
        <v>49</v>
      </c>
      <c r="B52" s="70">
        <v>45973</v>
      </c>
      <c r="C52" s="70">
        <v>45974</v>
      </c>
      <c r="D52" s="79">
        <v>0.83333333333333337</v>
      </c>
      <c r="E52" s="79">
        <v>0.33333333333333331</v>
      </c>
      <c r="F52" s="76">
        <v>350000</v>
      </c>
      <c r="G52" s="76">
        <v>350000</v>
      </c>
      <c r="H52" s="82" t="s">
        <v>12</v>
      </c>
      <c r="I52" s="80">
        <v>987262813638</v>
      </c>
      <c r="J52" s="80">
        <v>925318382600727</v>
      </c>
      <c r="K52" s="73" t="s">
        <v>15</v>
      </c>
      <c r="L52" s="73" t="s">
        <v>27</v>
      </c>
      <c r="M52" s="71" t="s">
        <v>13</v>
      </c>
    </row>
    <row r="53" spans="1:13" x14ac:dyDescent="0.35">
      <c r="A53" s="73">
        <v>50</v>
      </c>
      <c r="B53" s="70">
        <v>45974</v>
      </c>
      <c r="C53" s="70">
        <v>45974</v>
      </c>
      <c r="D53" s="79">
        <v>0.33333333333333331</v>
      </c>
      <c r="E53" s="79">
        <v>0.83333333333333337</v>
      </c>
      <c r="F53" s="76">
        <v>325000</v>
      </c>
      <c r="G53" s="76">
        <v>325000</v>
      </c>
      <c r="H53" s="82" t="s">
        <v>12</v>
      </c>
      <c r="I53" s="80">
        <v>987262823884</v>
      </c>
      <c r="J53" s="80">
        <v>925319382884669</v>
      </c>
      <c r="K53" s="73" t="s">
        <v>25</v>
      </c>
      <c r="L53" s="73" t="s">
        <v>27</v>
      </c>
      <c r="M53" s="71" t="s">
        <v>21</v>
      </c>
    </row>
    <row r="54" spans="1:13" x14ac:dyDescent="0.35">
      <c r="A54" s="73">
        <v>51</v>
      </c>
      <c r="B54" s="70">
        <v>45974</v>
      </c>
      <c r="C54" s="70">
        <v>45974</v>
      </c>
      <c r="D54" s="79">
        <v>0.33333333333333331</v>
      </c>
      <c r="E54" s="79">
        <v>0.83333333333333337</v>
      </c>
      <c r="F54" s="76">
        <v>966000</v>
      </c>
      <c r="G54" s="76">
        <v>966000</v>
      </c>
      <c r="H54" s="82" t="s">
        <v>12</v>
      </c>
      <c r="I54" s="80">
        <v>987262823884</v>
      </c>
      <c r="J54" s="80">
        <v>925319382884669</v>
      </c>
      <c r="K54" s="73" t="s">
        <v>24</v>
      </c>
      <c r="L54" s="73" t="s">
        <v>27</v>
      </c>
      <c r="M54" s="71" t="s">
        <v>13</v>
      </c>
    </row>
    <row r="55" spans="1:13" x14ac:dyDescent="0.35">
      <c r="A55" s="73">
        <v>52</v>
      </c>
      <c r="B55" s="70">
        <v>45974</v>
      </c>
      <c r="C55" s="70">
        <v>45975</v>
      </c>
      <c r="D55" s="79">
        <v>0.83333333333333337</v>
      </c>
      <c r="E55" s="79">
        <v>0.33333333333333331</v>
      </c>
      <c r="F55" s="76">
        <v>170000</v>
      </c>
      <c r="G55" s="76">
        <v>170000</v>
      </c>
      <c r="H55" s="82" t="s">
        <v>12</v>
      </c>
      <c r="I55" s="80">
        <v>987262823884</v>
      </c>
      <c r="J55" s="80">
        <v>925319382884669</v>
      </c>
      <c r="K55" s="73" t="s">
        <v>16</v>
      </c>
      <c r="L55" s="73" t="s">
        <v>27</v>
      </c>
      <c r="M55" s="71" t="s">
        <v>21</v>
      </c>
    </row>
    <row r="56" spans="1:13" x14ac:dyDescent="0.35">
      <c r="A56" s="73">
        <v>53</v>
      </c>
      <c r="B56" s="70">
        <v>45974</v>
      </c>
      <c r="C56" s="70">
        <v>45975</v>
      </c>
      <c r="D56" s="79">
        <v>0.83333333333333337</v>
      </c>
      <c r="E56" s="79">
        <v>0.33333333333333331</v>
      </c>
      <c r="F56" s="76">
        <v>437000</v>
      </c>
      <c r="G56" s="76">
        <v>437000</v>
      </c>
      <c r="H56" s="82" t="s">
        <v>12</v>
      </c>
      <c r="I56" s="80">
        <v>987262823884</v>
      </c>
      <c r="J56" s="80">
        <v>925319382884669</v>
      </c>
      <c r="K56" s="73" t="s">
        <v>15</v>
      </c>
      <c r="L56" s="73" t="s">
        <v>27</v>
      </c>
      <c r="M56" s="71" t="s">
        <v>13</v>
      </c>
    </row>
    <row r="57" spans="1:13" x14ac:dyDescent="0.35">
      <c r="A57" s="73">
        <v>54</v>
      </c>
      <c r="B57" s="70">
        <v>45975</v>
      </c>
      <c r="C57" s="70">
        <v>45975</v>
      </c>
      <c r="D57" s="79">
        <v>0.33333333333333331</v>
      </c>
      <c r="E57" s="79">
        <v>0.83333333333333337</v>
      </c>
      <c r="F57" s="76">
        <v>369000</v>
      </c>
      <c r="G57" s="76">
        <v>369000</v>
      </c>
      <c r="H57" s="82" t="s">
        <v>12</v>
      </c>
      <c r="I57" s="80">
        <v>987262849288</v>
      </c>
      <c r="J57" s="80">
        <v>925322383661127</v>
      </c>
      <c r="K57" s="73" t="s">
        <v>19</v>
      </c>
      <c r="L57" s="73" t="s">
        <v>27</v>
      </c>
      <c r="M57" s="71" t="s">
        <v>21</v>
      </c>
    </row>
    <row r="58" spans="1:13" x14ac:dyDescent="0.35">
      <c r="A58" s="73">
        <v>55</v>
      </c>
      <c r="B58" s="70">
        <v>45975</v>
      </c>
      <c r="C58" s="70">
        <v>45975</v>
      </c>
      <c r="D58" s="79">
        <v>0.33333333333333331</v>
      </c>
      <c r="E58" s="79">
        <v>0.83333333333333337</v>
      </c>
      <c r="F58" s="76">
        <v>1044000</v>
      </c>
      <c r="G58" s="76">
        <v>1044000</v>
      </c>
      <c r="H58" s="82" t="s">
        <v>12</v>
      </c>
      <c r="I58" s="80">
        <v>987262849288</v>
      </c>
      <c r="J58" s="80">
        <v>925322383661127</v>
      </c>
      <c r="K58" s="73" t="s">
        <v>140</v>
      </c>
      <c r="L58" s="73" t="s">
        <v>27</v>
      </c>
      <c r="M58" s="71" t="s">
        <v>13</v>
      </c>
    </row>
    <row r="59" spans="1:13" x14ac:dyDescent="0.35">
      <c r="A59" s="73">
        <v>56</v>
      </c>
      <c r="B59" s="70">
        <v>45975</v>
      </c>
      <c r="C59" s="70">
        <v>45976</v>
      </c>
      <c r="D59" s="79">
        <v>0.83333333333333337</v>
      </c>
      <c r="E59" s="79">
        <v>0.33333333333333331</v>
      </c>
      <c r="F59" s="76">
        <v>152000</v>
      </c>
      <c r="G59" s="76">
        <v>152000</v>
      </c>
      <c r="H59" s="82" t="s">
        <v>12</v>
      </c>
      <c r="I59" s="80">
        <v>987262849288</v>
      </c>
      <c r="J59" s="80">
        <v>925322383661127</v>
      </c>
      <c r="K59" s="73" t="s">
        <v>25</v>
      </c>
      <c r="L59" s="73" t="s">
        <v>27</v>
      </c>
      <c r="M59" s="71" t="s">
        <v>21</v>
      </c>
    </row>
    <row r="60" spans="1:13" x14ac:dyDescent="0.35">
      <c r="A60" s="73">
        <v>57</v>
      </c>
      <c r="B60" s="70">
        <v>45975</v>
      </c>
      <c r="C60" s="70">
        <v>45976</v>
      </c>
      <c r="D60" s="79">
        <v>0.83333333333333337</v>
      </c>
      <c r="E60" s="79">
        <v>0.33333333333333331</v>
      </c>
      <c r="F60" s="76">
        <v>503000</v>
      </c>
      <c r="G60" s="76">
        <v>503000</v>
      </c>
      <c r="H60" s="82" t="s">
        <v>12</v>
      </c>
      <c r="I60" s="80">
        <v>987262849288</v>
      </c>
      <c r="J60" s="80">
        <v>925322383661127</v>
      </c>
      <c r="K60" s="73" t="s">
        <v>24</v>
      </c>
      <c r="L60" s="73" t="s">
        <v>27</v>
      </c>
      <c r="M60" s="71" t="s">
        <v>13</v>
      </c>
    </row>
    <row r="61" spans="1:13" x14ac:dyDescent="0.35">
      <c r="A61" s="73">
        <v>58</v>
      </c>
      <c r="B61" s="70">
        <v>45976</v>
      </c>
      <c r="C61" s="70">
        <v>45976</v>
      </c>
      <c r="D61" s="79">
        <v>0.33333333333333331</v>
      </c>
      <c r="E61" s="79">
        <v>0.83333333333333337</v>
      </c>
      <c r="F61" s="76">
        <v>307000</v>
      </c>
      <c r="G61" s="76">
        <v>307000</v>
      </c>
      <c r="H61" s="82" t="s">
        <v>12</v>
      </c>
      <c r="I61" s="80">
        <v>987262849306</v>
      </c>
      <c r="J61" s="80">
        <v>925322383665168</v>
      </c>
      <c r="K61" s="73" t="s">
        <v>19</v>
      </c>
      <c r="L61" s="73" t="s">
        <v>27</v>
      </c>
      <c r="M61" s="71" t="s">
        <v>21</v>
      </c>
    </row>
    <row r="62" spans="1:13" x14ac:dyDescent="0.35">
      <c r="A62" s="73">
        <v>59</v>
      </c>
      <c r="B62" s="70">
        <v>45976</v>
      </c>
      <c r="C62" s="70">
        <v>45976</v>
      </c>
      <c r="D62" s="79">
        <v>0.33333333333333331</v>
      </c>
      <c r="E62" s="79">
        <v>0.83333333333333337</v>
      </c>
      <c r="F62" s="76">
        <v>1201000</v>
      </c>
      <c r="G62" s="76">
        <v>1201000</v>
      </c>
      <c r="H62" s="82" t="s">
        <v>12</v>
      </c>
      <c r="I62" s="80">
        <v>987262849306</v>
      </c>
      <c r="J62" s="80">
        <v>925322383665168</v>
      </c>
      <c r="K62" s="73" t="s">
        <v>140</v>
      </c>
      <c r="L62" s="73" t="s">
        <v>27</v>
      </c>
      <c r="M62" s="71" t="s">
        <v>13</v>
      </c>
    </row>
    <row r="63" spans="1:13" x14ac:dyDescent="0.35">
      <c r="A63" s="73">
        <v>60</v>
      </c>
      <c r="B63" s="70">
        <v>45976</v>
      </c>
      <c r="C63" s="70">
        <v>45977</v>
      </c>
      <c r="D63" s="79">
        <v>0.83333333333333337</v>
      </c>
      <c r="E63" s="79">
        <v>0.33333333333333331</v>
      </c>
      <c r="F63" s="76">
        <v>213000</v>
      </c>
      <c r="G63" s="76">
        <v>213000</v>
      </c>
      <c r="H63" s="82" t="s">
        <v>12</v>
      </c>
      <c r="I63" s="80">
        <v>987262849306</v>
      </c>
      <c r="J63" s="80">
        <v>925322383665168</v>
      </c>
      <c r="K63" s="73" t="s">
        <v>25</v>
      </c>
      <c r="L63" s="73" t="s">
        <v>27</v>
      </c>
      <c r="M63" s="71" t="s">
        <v>21</v>
      </c>
    </row>
    <row r="64" spans="1:13" x14ac:dyDescent="0.35">
      <c r="A64" s="73">
        <v>61</v>
      </c>
      <c r="B64" s="70">
        <v>45976</v>
      </c>
      <c r="C64" s="70">
        <v>45977</v>
      </c>
      <c r="D64" s="79">
        <v>0.83333333333333337</v>
      </c>
      <c r="E64" s="79">
        <v>0.33333333333333331</v>
      </c>
      <c r="F64" s="76">
        <v>512000</v>
      </c>
      <c r="G64" s="76">
        <v>512000</v>
      </c>
      <c r="H64" s="82" t="s">
        <v>12</v>
      </c>
      <c r="I64" s="80">
        <v>987262849306</v>
      </c>
      <c r="J64" s="80">
        <v>925322383665168</v>
      </c>
      <c r="K64" s="73" t="s">
        <v>24</v>
      </c>
      <c r="L64" s="73" t="s">
        <v>27</v>
      </c>
      <c r="M64" s="71" t="s">
        <v>13</v>
      </c>
    </row>
    <row r="65" spans="1:13" x14ac:dyDescent="0.35">
      <c r="A65" s="73">
        <v>62</v>
      </c>
      <c r="B65" s="70">
        <v>45977</v>
      </c>
      <c r="C65" s="70">
        <v>45977</v>
      </c>
      <c r="D65" s="79">
        <v>0.33333333333333331</v>
      </c>
      <c r="E65" s="79">
        <v>0.83333333333333337</v>
      </c>
      <c r="F65" s="76">
        <v>374000</v>
      </c>
      <c r="G65" s="76">
        <v>374000</v>
      </c>
      <c r="H65" s="82" t="s">
        <v>12</v>
      </c>
      <c r="I65" s="80">
        <v>987262849298</v>
      </c>
      <c r="J65" s="80">
        <v>925322383663706</v>
      </c>
      <c r="K65" s="73" t="s">
        <v>16</v>
      </c>
      <c r="L65" s="73" t="s">
        <v>27</v>
      </c>
      <c r="M65" s="71" t="s">
        <v>21</v>
      </c>
    </row>
    <row r="66" spans="1:13" x14ac:dyDescent="0.35">
      <c r="A66" s="73">
        <v>63</v>
      </c>
      <c r="B66" s="70">
        <v>45977</v>
      </c>
      <c r="C66" s="70">
        <v>45977</v>
      </c>
      <c r="D66" s="79">
        <v>0.33333333333333331</v>
      </c>
      <c r="E66" s="79">
        <v>0.83333333333333337</v>
      </c>
      <c r="F66" s="76">
        <v>1140000</v>
      </c>
      <c r="G66" s="76">
        <v>1140000</v>
      </c>
      <c r="H66" s="82" t="s">
        <v>12</v>
      </c>
      <c r="I66" s="80">
        <v>987262849298</v>
      </c>
      <c r="J66" s="80">
        <v>925322383663706</v>
      </c>
      <c r="K66" s="73" t="s">
        <v>15</v>
      </c>
      <c r="L66" s="73" t="s">
        <v>27</v>
      </c>
      <c r="M66" s="71" t="s">
        <v>13</v>
      </c>
    </row>
    <row r="67" spans="1:13" x14ac:dyDescent="0.35">
      <c r="A67" s="73">
        <v>64</v>
      </c>
      <c r="B67" s="70">
        <v>45977</v>
      </c>
      <c r="C67" s="70">
        <v>45978</v>
      </c>
      <c r="D67" s="79">
        <v>0.83333333333333337</v>
      </c>
      <c r="E67" s="79">
        <v>0.33333333333333331</v>
      </c>
      <c r="F67" s="76">
        <v>386000</v>
      </c>
      <c r="G67" s="76">
        <v>386000</v>
      </c>
      <c r="H67" s="82" t="s">
        <v>12</v>
      </c>
      <c r="I67" s="80">
        <v>987262849298</v>
      </c>
      <c r="J67" s="80">
        <v>925322383663706</v>
      </c>
      <c r="K67" s="73" t="s">
        <v>19</v>
      </c>
      <c r="L67" s="73" t="s">
        <v>27</v>
      </c>
      <c r="M67" s="71" t="s">
        <v>21</v>
      </c>
    </row>
    <row r="68" spans="1:13" x14ac:dyDescent="0.35">
      <c r="A68" s="73">
        <v>65</v>
      </c>
      <c r="B68" s="70">
        <v>45977</v>
      </c>
      <c r="C68" s="70">
        <v>45978</v>
      </c>
      <c r="D68" s="79">
        <v>0.83333333333333337</v>
      </c>
      <c r="E68" s="79">
        <v>0.33333333333333331</v>
      </c>
      <c r="F68" s="76">
        <v>620000</v>
      </c>
      <c r="G68" s="76">
        <v>620000</v>
      </c>
      <c r="H68" s="82" t="s">
        <v>12</v>
      </c>
      <c r="I68" s="80">
        <v>987262849298</v>
      </c>
      <c r="J68" s="80">
        <v>925322383663706</v>
      </c>
      <c r="K68" s="73" t="s">
        <v>140</v>
      </c>
      <c r="L68" s="73" t="s">
        <v>27</v>
      </c>
      <c r="M68" s="71" t="s">
        <v>13</v>
      </c>
    </row>
    <row r="69" spans="1:13" x14ac:dyDescent="0.35">
      <c r="A69" s="73">
        <v>66</v>
      </c>
      <c r="B69" s="70">
        <v>45978</v>
      </c>
      <c r="C69" s="70">
        <v>45978</v>
      </c>
      <c r="D69" s="79">
        <v>0.33333333333333331</v>
      </c>
      <c r="E69" s="79">
        <v>0.83333333333333337</v>
      </c>
      <c r="F69" s="76">
        <v>342000</v>
      </c>
      <c r="G69" s="76">
        <v>342000</v>
      </c>
      <c r="H69" s="82" t="s">
        <v>12</v>
      </c>
      <c r="I69" s="80">
        <v>987262860881</v>
      </c>
      <c r="J69" s="80">
        <v>925323384064894</v>
      </c>
      <c r="K69" s="73" t="s">
        <v>16</v>
      </c>
      <c r="L69" s="73" t="s">
        <v>27</v>
      </c>
      <c r="M69" s="71" t="s">
        <v>21</v>
      </c>
    </row>
    <row r="70" spans="1:13" x14ac:dyDescent="0.35">
      <c r="A70" s="73">
        <v>67</v>
      </c>
      <c r="B70" s="70">
        <v>45978</v>
      </c>
      <c r="C70" s="70">
        <v>45978</v>
      </c>
      <c r="D70" s="79">
        <v>0.33333333333333331</v>
      </c>
      <c r="E70" s="79">
        <v>0.83333333333333337</v>
      </c>
      <c r="F70" s="76">
        <v>1135000</v>
      </c>
      <c r="G70" s="76">
        <v>1135000</v>
      </c>
      <c r="H70" s="82" t="s">
        <v>12</v>
      </c>
      <c r="I70" s="80">
        <v>987262860881</v>
      </c>
      <c r="J70" s="80">
        <v>925323384064894</v>
      </c>
      <c r="K70" s="73" t="s">
        <v>15</v>
      </c>
      <c r="L70" s="73" t="s">
        <v>27</v>
      </c>
      <c r="M70" s="71" t="s">
        <v>13</v>
      </c>
    </row>
    <row r="71" spans="1:13" x14ac:dyDescent="0.35">
      <c r="A71" s="73">
        <v>68</v>
      </c>
      <c r="B71" s="70">
        <v>45978</v>
      </c>
      <c r="C71" s="70">
        <v>45979</v>
      </c>
      <c r="D71" s="79">
        <v>0.83333333333333337</v>
      </c>
      <c r="E71" s="79">
        <v>0.33333333333333331</v>
      </c>
      <c r="F71" s="76">
        <v>200000</v>
      </c>
      <c r="G71" s="76">
        <v>200000</v>
      </c>
      <c r="H71" s="82" t="s">
        <v>12</v>
      </c>
      <c r="I71" s="80">
        <v>987262860881</v>
      </c>
      <c r="J71" s="80">
        <v>925323384064894</v>
      </c>
      <c r="K71" s="73" t="s">
        <v>19</v>
      </c>
      <c r="L71" s="73" t="s">
        <v>27</v>
      </c>
      <c r="M71" s="71" t="s">
        <v>21</v>
      </c>
    </row>
    <row r="72" spans="1:13" x14ac:dyDescent="0.35">
      <c r="A72" s="73">
        <v>69</v>
      </c>
      <c r="B72" s="70">
        <v>45978</v>
      </c>
      <c r="C72" s="70">
        <v>45979</v>
      </c>
      <c r="D72" s="79">
        <v>0.83333333333333337</v>
      </c>
      <c r="E72" s="79">
        <v>0.33333333333333331</v>
      </c>
      <c r="F72" s="76">
        <v>416000</v>
      </c>
      <c r="G72" s="76">
        <v>416000</v>
      </c>
      <c r="H72" s="82" t="s">
        <v>12</v>
      </c>
      <c r="I72" s="80">
        <v>987262860881</v>
      </c>
      <c r="J72" s="80">
        <v>925323384064894</v>
      </c>
      <c r="K72" s="73" t="s">
        <v>140</v>
      </c>
      <c r="L72" s="73" t="s">
        <v>27</v>
      </c>
      <c r="M72" s="71" t="s">
        <v>13</v>
      </c>
    </row>
    <row r="73" spans="1:13" x14ac:dyDescent="0.35">
      <c r="A73" s="73">
        <v>70</v>
      </c>
      <c r="B73" s="70">
        <v>45979</v>
      </c>
      <c r="C73" s="70">
        <v>45979</v>
      </c>
      <c r="D73" s="79">
        <v>0.33333333333333331</v>
      </c>
      <c r="E73" s="79">
        <v>0.83333333333333337</v>
      </c>
      <c r="F73" s="76">
        <v>311000</v>
      </c>
      <c r="G73" s="76">
        <v>311000</v>
      </c>
      <c r="H73" s="82" t="s">
        <v>12</v>
      </c>
      <c r="I73" s="80">
        <v>987262874164</v>
      </c>
      <c r="J73" s="80">
        <v>925324384463085</v>
      </c>
      <c r="K73" s="73" t="s">
        <v>25</v>
      </c>
      <c r="L73" s="73" t="s">
        <v>27</v>
      </c>
      <c r="M73" s="71" t="s">
        <v>21</v>
      </c>
    </row>
    <row r="74" spans="1:13" x14ac:dyDescent="0.35">
      <c r="A74" s="73">
        <v>71</v>
      </c>
      <c r="B74" s="70">
        <v>45979</v>
      </c>
      <c r="C74" s="70">
        <v>45979</v>
      </c>
      <c r="D74" s="79">
        <v>0.33333333333333331</v>
      </c>
      <c r="E74" s="79">
        <v>0.83333333333333337</v>
      </c>
      <c r="F74" s="76">
        <v>990000</v>
      </c>
      <c r="G74" s="76">
        <v>990000</v>
      </c>
      <c r="H74" s="82" t="s">
        <v>12</v>
      </c>
      <c r="I74" s="80">
        <v>987262874164</v>
      </c>
      <c r="J74" s="80">
        <v>925324384463085</v>
      </c>
      <c r="K74" s="73" t="s">
        <v>24</v>
      </c>
      <c r="L74" s="73" t="s">
        <v>27</v>
      </c>
      <c r="M74" s="71" t="s">
        <v>13</v>
      </c>
    </row>
    <row r="75" spans="1:13" x14ac:dyDescent="0.35">
      <c r="A75" s="73">
        <v>72</v>
      </c>
      <c r="B75" s="70">
        <v>45979</v>
      </c>
      <c r="C75" s="70">
        <v>45980</v>
      </c>
      <c r="D75" s="79">
        <v>0.83333333333333337</v>
      </c>
      <c r="E75" s="79">
        <v>0.33333333333333331</v>
      </c>
      <c r="F75" s="76">
        <v>226000</v>
      </c>
      <c r="G75" s="76">
        <v>226000</v>
      </c>
      <c r="H75" s="82" t="s">
        <v>12</v>
      </c>
      <c r="I75" s="80">
        <v>987262874164</v>
      </c>
      <c r="J75" s="80">
        <v>925324384463085</v>
      </c>
      <c r="K75" s="73" t="s">
        <v>16</v>
      </c>
      <c r="L75" s="73" t="s">
        <v>27</v>
      </c>
      <c r="M75" s="71" t="s">
        <v>21</v>
      </c>
    </row>
    <row r="76" spans="1:13" x14ac:dyDescent="0.35">
      <c r="A76" s="73">
        <v>73</v>
      </c>
      <c r="B76" s="70">
        <v>45979</v>
      </c>
      <c r="C76" s="70">
        <v>45980</v>
      </c>
      <c r="D76" s="79">
        <v>0.83333333333333337</v>
      </c>
      <c r="E76" s="79">
        <v>0.33333333333333331</v>
      </c>
      <c r="F76" s="76">
        <v>482000</v>
      </c>
      <c r="G76" s="76">
        <v>482000</v>
      </c>
      <c r="H76" s="82" t="s">
        <v>12</v>
      </c>
      <c r="I76" s="80">
        <v>987262874164</v>
      </c>
      <c r="J76" s="80">
        <v>925324384463085</v>
      </c>
      <c r="K76" s="73" t="s">
        <v>15</v>
      </c>
      <c r="L76" s="73" t="s">
        <v>27</v>
      </c>
      <c r="M76" s="71" t="s">
        <v>13</v>
      </c>
    </row>
    <row r="77" spans="1:13" x14ac:dyDescent="0.35">
      <c r="A77" s="73">
        <v>74</v>
      </c>
      <c r="B77" s="70">
        <v>45980</v>
      </c>
      <c r="C77" s="70">
        <v>45980</v>
      </c>
      <c r="D77" s="79">
        <v>0.33333333333333331</v>
      </c>
      <c r="E77" s="79">
        <v>0.83333333333333337</v>
      </c>
      <c r="F77" s="76">
        <v>236000</v>
      </c>
      <c r="G77" s="76">
        <v>236000</v>
      </c>
      <c r="H77" s="82" t="s">
        <v>12</v>
      </c>
      <c r="I77" s="80">
        <v>987262882082</v>
      </c>
      <c r="J77" s="80">
        <v>925324384867386</v>
      </c>
      <c r="K77" s="73" t="s">
        <v>25</v>
      </c>
      <c r="L77" s="73" t="s">
        <v>27</v>
      </c>
      <c r="M77" s="71" t="s">
        <v>21</v>
      </c>
    </row>
    <row r="78" spans="1:13" x14ac:dyDescent="0.35">
      <c r="A78" s="73">
        <v>75</v>
      </c>
      <c r="B78" s="70">
        <v>45980</v>
      </c>
      <c r="C78" s="70">
        <v>45980</v>
      </c>
      <c r="D78" s="79">
        <v>0.33333333333333331</v>
      </c>
      <c r="E78" s="79">
        <v>0.83333333333333337</v>
      </c>
      <c r="F78" s="76">
        <v>1087000</v>
      </c>
      <c r="G78" s="76">
        <v>1087000</v>
      </c>
      <c r="H78" s="82" t="s">
        <v>12</v>
      </c>
      <c r="I78" s="80">
        <v>987262882082</v>
      </c>
      <c r="J78" s="80">
        <v>925324384867386</v>
      </c>
      <c r="K78" s="73" t="s">
        <v>24</v>
      </c>
      <c r="L78" s="73" t="s">
        <v>27</v>
      </c>
      <c r="M78" s="71" t="s">
        <v>13</v>
      </c>
    </row>
    <row r="79" spans="1:13" x14ac:dyDescent="0.35">
      <c r="A79" s="73">
        <v>76</v>
      </c>
      <c r="B79" s="70">
        <v>45980</v>
      </c>
      <c r="C79" s="70">
        <v>45981</v>
      </c>
      <c r="D79" s="79">
        <v>0.83333333333333337</v>
      </c>
      <c r="E79" s="79">
        <v>0.33333333333333331</v>
      </c>
      <c r="F79" s="76">
        <v>83000</v>
      </c>
      <c r="G79" s="76">
        <v>83000</v>
      </c>
      <c r="H79" s="82" t="s">
        <v>12</v>
      </c>
      <c r="I79" s="80">
        <v>987262882082</v>
      </c>
      <c r="J79" s="80">
        <v>925324384867386</v>
      </c>
      <c r="K79" s="73" t="s">
        <v>16</v>
      </c>
      <c r="L79" s="73" t="s">
        <v>27</v>
      </c>
      <c r="M79" s="71" t="s">
        <v>21</v>
      </c>
    </row>
    <row r="80" spans="1:13" x14ac:dyDescent="0.35">
      <c r="A80" s="73">
        <v>77</v>
      </c>
      <c r="B80" s="70">
        <v>45980</v>
      </c>
      <c r="C80" s="70">
        <v>45981</v>
      </c>
      <c r="D80" s="79">
        <v>0.83333333333333337</v>
      </c>
      <c r="E80" s="79">
        <v>0.33333333333333331</v>
      </c>
      <c r="F80" s="76">
        <v>635000</v>
      </c>
      <c r="G80" s="76">
        <v>635000</v>
      </c>
      <c r="H80" s="82" t="s">
        <v>12</v>
      </c>
      <c r="I80" s="80">
        <v>987262882082</v>
      </c>
      <c r="J80" s="80">
        <v>925324384867386</v>
      </c>
      <c r="K80" s="73" t="s">
        <v>15</v>
      </c>
      <c r="L80" s="73" t="s">
        <v>27</v>
      </c>
      <c r="M80" s="71" t="s">
        <v>13</v>
      </c>
    </row>
    <row r="81" spans="1:13" x14ac:dyDescent="0.35">
      <c r="A81" s="73">
        <v>78</v>
      </c>
      <c r="B81" s="70">
        <v>45981</v>
      </c>
      <c r="C81" s="70">
        <v>45981</v>
      </c>
      <c r="D81" s="79">
        <v>0.33333333333333331</v>
      </c>
      <c r="E81" s="79">
        <v>0.83333333333333337</v>
      </c>
      <c r="F81" s="76">
        <v>343000</v>
      </c>
      <c r="G81" s="76">
        <v>343000</v>
      </c>
      <c r="H81" s="82" t="s">
        <v>12</v>
      </c>
      <c r="I81" s="80">
        <v>987262892426</v>
      </c>
      <c r="J81" s="80">
        <v>925326385211465</v>
      </c>
      <c r="K81" s="73" t="s">
        <v>19</v>
      </c>
      <c r="L81" s="73" t="s">
        <v>27</v>
      </c>
      <c r="M81" s="71" t="s">
        <v>21</v>
      </c>
    </row>
    <row r="82" spans="1:13" x14ac:dyDescent="0.35">
      <c r="A82" s="73">
        <v>79</v>
      </c>
      <c r="B82" s="70">
        <v>45981</v>
      </c>
      <c r="C82" s="70">
        <v>45981</v>
      </c>
      <c r="D82" s="79">
        <v>0.33333333333333331</v>
      </c>
      <c r="E82" s="79">
        <v>0.83333333333333337</v>
      </c>
      <c r="F82" s="76">
        <v>1195000</v>
      </c>
      <c r="G82" s="76">
        <v>1195000</v>
      </c>
      <c r="H82" s="82" t="s">
        <v>12</v>
      </c>
      <c r="I82" s="80">
        <v>987262892426</v>
      </c>
      <c r="J82" s="80">
        <v>925326385211465</v>
      </c>
      <c r="K82" s="73" t="s">
        <v>140</v>
      </c>
      <c r="L82" s="73" t="s">
        <v>27</v>
      </c>
      <c r="M82" s="71" t="s">
        <v>13</v>
      </c>
    </row>
    <row r="83" spans="1:13" x14ac:dyDescent="0.35">
      <c r="A83" s="73">
        <v>80</v>
      </c>
      <c r="B83" s="70">
        <v>45981</v>
      </c>
      <c r="C83" s="70">
        <v>45982</v>
      </c>
      <c r="D83" s="79">
        <v>0.83333333333333337</v>
      </c>
      <c r="E83" s="79">
        <v>0.33333333333333331</v>
      </c>
      <c r="F83" s="76">
        <v>286000</v>
      </c>
      <c r="G83" s="76">
        <v>286000</v>
      </c>
      <c r="H83" s="82" t="s">
        <v>12</v>
      </c>
      <c r="I83" s="80">
        <v>987262892426</v>
      </c>
      <c r="J83" s="80">
        <v>925326385211465</v>
      </c>
      <c r="K83" s="73" t="s">
        <v>25</v>
      </c>
      <c r="L83" s="73" t="s">
        <v>27</v>
      </c>
      <c r="M83" s="71" t="s">
        <v>21</v>
      </c>
    </row>
    <row r="84" spans="1:13" x14ac:dyDescent="0.35">
      <c r="A84" s="73">
        <v>81</v>
      </c>
      <c r="B84" s="70">
        <v>45981</v>
      </c>
      <c r="C84" s="70">
        <v>45982</v>
      </c>
      <c r="D84" s="79">
        <v>0.83333333333333337</v>
      </c>
      <c r="E84" s="79">
        <v>0.33333333333333331</v>
      </c>
      <c r="F84" s="76">
        <v>517000</v>
      </c>
      <c r="G84" s="76">
        <v>517000</v>
      </c>
      <c r="H84" s="82" t="s">
        <v>12</v>
      </c>
      <c r="I84" s="80">
        <v>987262892426</v>
      </c>
      <c r="J84" s="80">
        <v>925326385211465</v>
      </c>
      <c r="K84" s="73" t="s">
        <v>24</v>
      </c>
      <c r="L84" s="73" t="s">
        <v>27</v>
      </c>
      <c r="M84" s="71" t="s">
        <v>13</v>
      </c>
    </row>
    <row r="85" spans="1:13" x14ac:dyDescent="0.35">
      <c r="A85" s="73">
        <v>82</v>
      </c>
      <c r="B85" s="70">
        <v>45982</v>
      </c>
      <c r="C85" s="70">
        <v>45982</v>
      </c>
      <c r="D85" s="79">
        <v>0.33333333333333331</v>
      </c>
      <c r="E85" s="79">
        <v>0.83333333333333337</v>
      </c>
      <c r="F85" s="76">
        <v>315000</v>
      </c>
      <c r="G85" s="76">
        <v>315000</v>
      </c>
      <c r="H85" s="82" t="s">
        <v>12</v>
      </c>
      <c r="I85" s="80">
        <v>987262925577</v>
      </c>
      <c r="J85" s="80">
        <v>925330386474940</v>
      </c>
      <c r="K85" s="73" t="s">
        <v>19</v>
      </c>
      <c r="L85" s="73" t="s">
        <v>27</v>
      </c>
      <c r="M85" s="71" t="s">
        <v>21</v>
      </c>
    </row>
    <row r="86" spans="1:13" x14ac:dyDescent="0.35">
      <c r="A86" s="73">
        <v>83</v>
      </c>
      <c r="B86" s="70">
        <v>45982</v>
      </c>
      <c r="C86" s="70">
        <v>45982</v>
      </c>
      <c r="D86" s="79">
        <v>0.33333333333333331</v>
      </c>
      <c r="E86" s="79">
        <v>0.83333333333333337</v>
      </c>
      <c r="F86" s="76">
        <v>1271000</v>
      </c>
      <c r="G86" s="76">
        <v>1271000</v>
      </c>
      <c r="H86" s="82" t="s">
        <v>12</v>
      </c>
      <c r="I86" s="80">
        <v>987262925577</v>
      </c>
      <c r="J86" s="80">
        <v>925330386474940</v>
      </c>
      <c r="K86" s="73" t="s">
        <v>140</v>
      </c>
      <c r="L86" s="73" t="s">
        <v>27</v>
      </c>
      <c r="M86" s="71" t="s">
        <v>13</v>
      </c>
    </row>
    <row r="87" spans="1:13" x14ac:dyDescent="0.35">
      <c r="A87" s="73">
        <v>84</v>
      </c>
      <c r="B87" s="70">
        <v>45982</v>
      </c>
      <c r="C87" s="70">
        <v>45983</v>
      </c>
      <c r="D87" s="79">
        <v>0.83333333333333337</v>
      </c>
      <c r="E87" s="79">
        <v>0.33333333333333331</v>
      </c>
      <c r="F87" s="76">
        <v>174000</v>
      </c>
      <c r="G87" s="76">
        <v>174000</v>
      </c>
      <c r="H87" s="82" t="s">
        <v>12</v>
      </c>
      <c r="I87" s="80">
        <v>987262925577</v>
      </c>
      <c r="J87" s="80">
        <v>925330386474940</v>
      </c>
      <c r="K87" s="73" t="s">
        <v>25</v>
      </c>
      <c r="L87" s="73" t="s">
        <v>27</v>
      </c>
      <c r="M87" s="71" t="s">
        <v>21</v>
      </c>
    </row>
    <row r="88" spans="1:13" x14ac:dyDescent="0.35">
      <c r="A88" s="73">
        <v>85</v>
      </c>
      <c r="B88" s="70">
        <v>45982</v>
      </c>
      <c r="C88" s="70">
        <v>45983</v>
      </c>
      <c r="D88" s="79">
        <v>0.83333333333333337</v>
      </c>
      <c r="E88" s="79">
        <v>0.33333333333333331</v>
      </c>
      <c r="F88" s="76">
        <v>445000</v>
      </c>
      <c r="G88" s="76">
        <v>445000</v>
      </c>
      <c r="H88" s="82" t="s">
        <v>12</v>
      </c>
      <c r="I88" s="80">
        <v>987262925577</v>
      </c>
      <c r="J88" s="80">
        <v>925330386474940</v>
      </c>
      <c r="K88" s="73" t="s">
        <v>24</v>
      </c>
      <c r="L88" s="73" t="s">
        <v>27</v>
      </c>
      <c r="M88" s="71" t="s">
        <v>13</v>
      </c>
    </row>
    <row r="89" spans="1:13" x14ac:dyDescent="0.35">
      <c r="A89" s="73">
        <v>86</v>
      </c>
      <c r="B89" s="70">
        <v>45983</v>
      </c>
      <c r="C89" s="70">
        <v>45983</v>
      </c>
      <c r="D89" s="79">
        <v>0.33333333333333331</v>
      </c>
      <c r="E89" s="79">
        <v>0.83333333333333337</v>
      </c>
      <c r="F89" s="76">
        <v>284000</v>
      </c>
      <c r="G89" s="76">
        <v>284000</v>
      </c>
      <c r="H89" s="82" t="s">
        <v>12</v>
      </c>
      <c r="I89" s="80">
        <v>987262925581</v>
      </c>
      <c r="J89" s="85">
        <v>9253300386475150</v>
      </c>
      <c r="K89" s="73" t="s">
        <v>16</v>
      </c>
      <c r="L89" s="73" t="s">
        <v>27</v>
      </c>
      <c r="M89" s="71" t="s">
        <v>21</v>
      </c>
    </row>
    <row r="90" spans="1:13" x14ac:dyDescent="0.35">
      <c r="A90" s="73">
        <v>87</v>
      </c>
      <c r="B90" s="70">
        <v>45983</v>
      </c>
      <c r="C90" s="70">
        <v>45983</v>
      </c>
      <c r="D90" s="79">
        <v>0.33333333333333331</v>
      </c>
      <c r="E90" s="79">
        <v>0.83333333333333337</v>
      </c>
      <c r="F90" s="76">
        <v>1069000</v>
      </c>
      <c r="G90" s="76">
        <v>1069000</v>
      </c>
      <c r="H90" s="82" t="s">
        <v>12</v>
      </c>
      <c r="I90" s="80">
        <v>987262925581</v>
      </c>
      <c r="J90" s="85">
        <v>9253300386475150</v>
      </c>
      <c r="K90" s="73" t="s">
        <v>15</v>
      </c>
      <c r="L90" s="73" t="s">
        <v>27</v>
      </c>
      <c r="M90" s="71" t="s">
        <v>13</v>
      </c>
    </row>
    <row r="91" spans="1:13" x14ac:dyDescent="0.35">
      <c r="A91" s="73">
        <v>88</v>
      </c>
      <c r="B91" s="70">
        <v>45983</v>
      </c>
      <c r="C91" s="70">
        <v>45984</v>
      </c>
      <c r="D91" s="79">
        <v>0.83333333333333337</v>
      </c>
      <c r="E91" s="79">
        <v>0.33333333333333331</v>
      </c>
      <c r="F91" s="76">
        <v>120000</v>
      </c>
      <c r="G91" s="76">
        <v>120000</v>
      </c>
      <c r="H91" s="82" t="s">
        <v>12</v>
      </c>
      <c r="I91" s="80">
        <v>987262925581</v>
      </c>
      <c r="J91" s="85">
        <v>9253300386475150</v>
      </c>
      <c r="K91" s="73" t="s">
        <v>19</v>
      </c>
      <c r="L91" s="73" t="s">
        <v>27</v>
      </c>
      <c r="M91" s="71" t="s">
        <v>21</v>
      </c>
    </row>
    <row r="92" spans="1:13" x14ac:dyDescent="0.35">
      <c r="A92" s="73">
        <v>89</v>
      </c>
      <c r="B92" s="70">
        <v>45983</v>
      </c>
      <c r="C92" s="70">
        <v>45984</v>
      </c>
      <c r="D92" s="79">
        <v>0.83333333333333337</v>
      </c>
      <c r="E92" s="79">
        <v>0.33333333333333331</v>
      </c>
      <c r="F92" s="76">
        <v>597000</v>
      </c>
      <c r="G92" s="76">
        <v>597000</v>
      </c>
      <c r="H92" s="82" t="s">
        <v>12</v>
      </c>
      <c r="I92" s="80">
        <v>987262925581</v>
      </c>
      <c r="J92" s="85">
        <v>9253300386475150</v>
      </c>
      <c r="K92" s="73" t="s">
        <v>140</v>
      </c>
      <c r="L92" s="73" t="s">
        <v>27</v>
      </c>
      <c r="M92" s="71" t="s">
        <v>13</v>
      </c>
    </row>
    <row r="93" spans="1:13" x14ac:dyDescent="0.35">
      <c r="A93" s="73">
        <v>90</v>
      </c>
      <c r="B93" s="70">
        <v>45984</v>
      </c>
      <c r="C93" s="70">
        <v>45984</v>
      </c>
      <c r="D93" s="79">
        <v>0.33333333333333331</v>
      </c>
      <c r="E93" s="79">
        <v>0.83333333333333337</v>
      </c>
      <c r="F93" s="76">
        <v>308000</v>
      </c>
      <c r="G93" s="76">
        <v>308000</v>
      </c>
      <c r="H93" s="82" t="s">
        <v>12</v>
      </c>
      <c r="I93" s="80">
        <v>987262925611</v>
      </c>
      <c r="J93" s="80">
        <v>925330386475774</v>
      </c>
      <c r="K93" s="73" t="s">
        <v>16</v>
      </c>
      <c r="L93" s="73" t="s">
        <v>27</v>
      </c>
      <c r="M93" s="71" t="s">
        <v>21</v>
      </c>
    </row>
    <row r="94" spans="1:13" x14ac:dyDescent="0.35">
      <c r="A94" s="73">
        <v>91</v>
      </c>
      <c r="B94" s="70">
        <v>45984</v>
      </c>
      <c r="C94" s="70">
        <v>45984</v>
      </c>
      <c r="D94" s="79">
        <v>0.33333333333333331</v>
      </c>
      <c r="E94" s="79">
        <v>0.83333333333333337</v>
      </c>
      <c r="F94" s="76">
        <v>1445000</v>
      </c>
      <c r="G94" s="76">
        <v>1445000</v>
      </c>
      <c r="H94" s="82" t="s">
        <v>12</v>
      </c>
      <c r="I94" s="80">
        <v>987262925611</v>
      </c>
      <c r="J94" s="80">
        <v>925330386475774</v>
      </c>
      <c r="K94" s="73" t="s">
        <v>15</v>
      </c>
      <c r="L94" s="73" t="s">
        <v>27</v>
      </c>
      <c r="M94" s="71" t="s">
        <v>13</v>
      </c>
    </row>
    <row r="95" spans="1:13" x14ac:dyDescent="0.35">
      <c r="A95" s="73">
        <v>92</v>
      </c>
      <c r="B95" s="70">
        <v>45984</v>
      </c>
      <c r="C95" s="70">
        <v>45985</v>
      </c>
      <c r="D95" s="79">
        <v>0.83333333333333337</v>
      </c>
      <c r="E95" s="79">
        <v>0.33333333333333331</v>
      </c>
      <c r="F95" s="76">
        <v>218000</v>
      </c>
      <c r="G95" s="76">
        <v>218000</v>
      </c>
      <c r="H95" s="82" t="s">
        <v>12</v>
      </c>
      <c r="I95" s="80">
        <v>987262925611</v>
      </c>
      <c r="J95" s="80">
        <v>925330386475774</v>
      </c>
      <c r="K95" s="73" t="s">
        <v>19</v>
      </c>
      <c r="L95" s="73" t="s">
        <v>27</v>
      </c>
      <c r="M95" s="71" t="s">
        <v>21</v>
      </c>
    </row>
    <row r="96" spans="1:13" x14ac:dyDescent="0.35">
      <c r="A96" s="73">
        <v>93</v>
      </c>
      <c r="B96" s="70">
        <v>45984</v>
      </c>
      <c r="C96" s="70">
        <v>45985</v>
      </c>
      <c r="D96" s="79">
        <v>0.83333333333333337</v>
      </c>
      <c r="E96" s="79">
        <v>0.33333333333333331</v>
      </c>
      <c r="F96" s="76">
        <v>671000</v>
      </c>
      <c r="G96" s="76">
        <v>671000</v>
      </c>
      <c r="H96" s="82" t="s">
        <v>12</v>
      </c>
      <c r="I96" s="80">
        <v>987262925611</v>
      </c>
      <c r="J96" s="80">
        <v>925330386475774</v>
      </c>
      <c r="K96" s="73" t="s">
        <v>140</v>
      </c>
      <c r="L96" s="73" t="s">
        <v>27</v>
      </c>
      <c r="M96" s="71" t="s">
        <v>13</v>
      </c>
    </row>
    <row r="97" spans="1:13" x14ac:dyDescent="0.35">
      <c r="A97" s="73">
        <v>94</v>
      </c>
      <c r="B97" s="70">
        <v>45985</v>
      </c>
      <c r="C97" s="70">
        <v>45985</v>
      </c>
      <c r="D97" s="79">
        <v>0.33333333333333331</v>
      </c>
      <c r="E97" s="79">
        <v>0.83333333333333337</v>
      </c>
      <c r="F97" s="76">
        <v>448000</v>
      </c>
      <c r="G97" s="76">
        <v>448000</v>
      </c>
      <c r="H97" s="82" t="s">
        <v>12</v>
      </c>
      <c r="I97" s="80">
        <v>987262925628</v>
      </c>
      <c r="J97" s="80">
        <v>925330386475548</v>
      </c>
      <c r="K97" s="73" t="s">
        <v>25</v>
      </c>
      <c r="L97" s="73" t="s">
        <v>27</v>
      </c>
      <c r="M97" s="71" t="s">
        <v>21</v>
      </c>
    </row>
    <row r="98" spans="1:13" x14ac:dyDescent="0.35">
      <c r="A98" s="73">
        <v>95</v>
      </c>
      <c r="B98" s="70">
        <v>45985</v>
      </c>
      <c r="C98" s="70">
        <v>45985</v>
      </c>
      <c r="D98" s="79">
        <v>0.33333333333333331</v>
      </c>
      <c r="E98" s="79">
        <v>0.83333333333333337</v>
      </c>
      <c r="F98" s="76">
        <v>1301000</v>
      </c>
      <c r="G98" s="76">
        <v>1301000</v>
      </c>
      <c r="H98" s="82" t="s">
        <v>12</v>
      </c>
      <c r="I98" s="80">
        <v>987262925628</v>
      </c>
      <c r="J98" s="80">
        <v>925330386475548</v>
      </c>
      <c r="K98" s="73" t="s">
        <v>24</v>
      </c>
      <c r="L98" s="73" t="s">
        <v>27</v>
      </c>
      <c r="M98" s="71" t="s">
        <v>13</v>
      </c>
    </row>
    <row r="99" spans="1:13" x14ac:dyDescent="0.35">
      <c r="A99" s="73">
        <v>96</v>
      </c>
      <c r="B99" s="70">
        <v>45985</v>
      </c>
      <c r="C99" s="70">
        <v>45986</v>
      </c>
      <c r="D99" s="79">
        <v>0.83333333333333337</v>
      </c>
      <c r="E99" s="79">
        <v>0.33333333333333331</v>
      </c>
      <c r="F99" s="76">
        <v>129000</v>
      </c>
      <c r="G99" s="76">
        <v>129000</v>
      </c>
      <c r="H99" s="82" t="s">
        <v>12</v>
      </c>
      <c r="I99" s="80">
        <v>987262925628</v>
      </c>
      <c r="J99" s="80">
        <v>925330386475548</v>
      </c>
      <c r="K99" s="73" t="s">
        <v>16</v>
      </c>
      <c r="L99" s="73" t="s">
        <v>27</v>
      </c>
      <c r="M99" s="71" t="s">
        <v>21</v>
      </c>
    </row>
    <row r="100" spans="1:13" x14ac:dyDescent="0.35">
      <c r="A100" s="73">
        <v>97</v>
      </c>
      <c r="B100" s="70">
        <v>45985</v>
      </c>
      <c r="C100" s="70">
        <v>45986</v>
      </c>
      <c r="D100" s="79">
        <v>0.83333333333333337</v>
      </c>
      <c r="E100" s="79">
        <v>0.33333333333333331</v>
      </c>
      <c r="F100" s="76">
        <v>660000</v>
      </c>
      <c r="G100" s="76">
        <v>660000</v>
      </c>
      <c r="H100" s="82" t="s">
        <v>12</v>
      </c>
      <c r="I100" s="80">
        <v>987262925628</v>
      </c>
      <c r="J100" s="80">
        <v>925330386475548</v>
      </c>
      <c r="K100" s="73" t="s">
        <v>15</v>
      </c>
      <c r="L100" s="73" t="s">
        <v>27</v>
      </c>
      <c r="M100" s="71" t="s">
        <v>13</v>
      </c>
    </row>
    <row r="101" spans="1:13" x14ac:dyDescent="0.35">
      <c r="A101" s="73">
        <v>98</v>
      </c>
      <c r="B101" s="70">
        <v>45986</v>
      </c>
      <c r="C101" s="70">
        <v>45986</v>
      </c>
      <c r="D101" s="79">
        <v>0.33333333333333331</v>
      </c>
      <c r="E101" s="79">
        <v>0.83333333333333337</v>
      </c>
      <c r="F101" s="76">
        <v>350000</v>
      </c>
      <c r="G101" s="76">
        <v>350000</v>
      </c>
      <c r="H101" s="82" t="s">
        <v>12</v>
      </c>
      <c r="I101" s="80">
        <v>987263001127</v>
      </c>
      <c r="J101" s="80">
        <v>925337388813508</v>
      </c>
      <c r="K101" s="73" t="s">
        <v>25</v>
      </c>
      <c r="L101" s="73" t="s">
        <v>27</v>
      </c>
      <c r="M101" s="71" t="s">
        <v>21</v>
      </c>
    </row>
    <row r="102" spans="1:13" x14ac:dyDescent="0.35">
      <c r="A102" s="73">
        <v>99</v>
      </c>
      <c r="B102" s="70">
        <v>45986</v>
      </c>
      <c r="C102" s="70">
        <v>45986</v>
      </c>
      <c r="D102" s="79">
        <v>0.33333333333333331</v>
      </c>
      <c r="E102" s="79">
        <v>0.83333333333333337</v>
      </c>
      <c r="F102" s="76">
        <v>1041000</v>
      </c>
      <c r="G102" s="76">
        <v>1041000</v>
      </c>
      <c r="H102" s="82" t="s">
        <v>12</v>
      </c>
      <c r="I102" s="80">
        <v>987263001127</v>
      </c>
      <c r="J102" s="80">
        <v>925337388813508</v>
      </c>
      <c r="K102" s="73" t="s">
        <v>24</v>
      </c>
      <c r="L102" s="73" t="s">
        <v>27</v>
      </c>
      <c r="M102" s="71" t="s">
        <v>13</v>
      </c>
    </row>
    <row r="103" spans="1:13" x14ac:dyDescent="0.35">
      <c r="A103" s="73">
        <v>100</v>
      </c>
      <c r="B103" s="70">
        <v>45986</v>
      </c>
      <c r="C103" s="70">
        <v>45987</v>
      </c>
      <c r="D103" s="79">
        <v>0.83333333333333337</v>
      </c>
      <c r="E103" s="79">
        <v>0.33333333333333331</v>
      </c>
      <c r="F103" s="76">
        <v>150000</v>
      </c>
      <c r="G103" s="76">
        <v>150000</v>
      </c>
      <c r="H103" s="82" t="s">
        <v>12</v>
      </c>
      <c r="I103" s="80">
        <v>987263001127</v>
      </c>
      <c r="J103" s="80">
        <v>925337388813508</v>
      </c>
      <c r="K103" s="73" t="s">
        <v>16</v>
      </c>
      <c r="L103" s="73" t="s">
        <v>27</v>
      </c>
      <c r="M103" s="71" t="s">
        <v>21</v>
      </c>
    </row>
    <row r="104" spans="1:13" x14ac:dyDescent="0.35">
      <c r="A104" s="73">
        <v>101</v>
      </c>
      <c r="B104" s="70">
        <v>45986</v>
      </c>
      <c r="C104" s="70">
        <v>45987</v>
      </c>
      <c r="D104" s="79">
        <v>0.83333333333333337</v>
      </c>
      <c r="E104" s="79">
        <v>0.33333333333333331</v>
      </c>
      <c r="F104" s="76">
        <v>575000</v>
      </c>
      <c r="G104" s="76">
        <v>575000</v>
      </c>
      <c r="H104" s="82" t="s">
        <v>12</v>
      </c>
      <c r="I104" s="80">
        <v>987263001127</v>
      </c>
      <c r="J104" s="80">
        <v>925337388813508</v>
      </c>
      <c r="K104" s="73" t="s">
        <v>15</v>
      </c>
      <c r="L104" s="73" t="s">
        <v>27</v>
      </c>
      <c r="M104" s="71" t="s">
        <v>13</v>
      </c>
    </row>
    <row r="105" spans="1:13" x14ac:dyDescent="0.35">
      <c r="A105" s="73">
        <v>102</v>
      </c>
      <c r="B105" s="70">
        <v>45987</v>
      </c>
      <c r="C105" s="70">
        <v>45987</v>
      </c>
      <c r="D105" s="79">
        <v>0.33333333333333331</v>
      </c>
      <c r="E105" s="79">
        <v>0.83333333333333337</v>
      </c>
      <c r="F105" s="76">
        <v>218000</v>
      </c>
      <c r="G105" s="76">
        <v>218000</v>
      </c>
      <c r="H105" s="82" t="s">
        <v>12</v>
      </c>
      <c r="I105" s="80">
        <v>987263001133</v>
      </c>
      <c r="J105" s="80">
        <v>925337388812755</v>
      </c>
      <c r="K105" s="73" t="s">
        <v>19</v>
      </c>
      <c r="L105" s="73" t="s">
        <v>27</v>
      </c>
      <c r="M105" s="71" t="s">
        <v>21</v>
      </c>
    </row>
    <row r="106" spans="1:13" x14ac:dyDescent="0.35">
      <c r="A106" s="73">
        <v>103</v>
      </c>
      <c r="B106" s="70">
        <v>45987</v>
      </c>
      <c r="C106" s="70">
        <v>45987</v>
      </c>
      <c r="D106" s="79">
        <v>0.33333333333333331</v>
      </c>
      <c r="E106" s="79">
        <v>0.83333333333333337</v>
      </c>
      <c r="F106" s="76">
        <v>1070000</v>
      </c>
      <c r="G106" s="76">
        <v>1070000</v>
      </c>
      <c r="H106" s="82" t="s">
        <v>12</v>
      </c>
      <c r="I106" s="80">
        <v>987263001133</v>
      </c>
      <c r="J106" s="80">
        <v>925337388812755</v>
      </c>
      <c r="K106" s="73" t="s">
        <v>140</v>
      </c>
      <c r="L106" s="73" t="s">
        <v>27</v>
      </c>
      <c r="M106" s="71" t="s">
        <v>13</v>
      </c>
    </row>
    <row r="107" spans="1:13" x14ac:dyDescent="0.35">
      <c r="A107" s="73">
        <v>104</v>
      </c>
      <c r="B107" s="70">
        <v>45987</v>
      </c>
      <c r="C107" s="70">
        <v>45988</v>
      </c>
      <c r="D107" s="79">
        <v>0.83333333333333337</v>
      </c>
      <c r="E107" s="79">
        <v>0.33333333333333331</v>
      </c>
      <c r="F107" s="76">
        <v>239000</v>
      </c>
      <c r="G107" s="76">
        <v>239000</v>
      </c>
      <c r="H107" s="82" t="s">
        <v>12</v>
      </c>
      <c r="I107" s="80">
        <v>987263001133</v>
      </c>
      <c r="J107" s="80">
        <v>925337388812755</v>
      </c>
      <c r="K107" s="73" t="s">
        <v>25</v>
      </c>
      <c r="L107" s="73" t="s">
        <v>27</v>
      </c>
      <c r="M107" s="71" t="s">
        <v>21</v>
      </c>
    </row>
    <row r="108" spans="1:13" x14ac:dyDescent="0.35">
      <c r="A108" s="73">
        <v>105</v>
      </c>
      <c r="B108" s="70">
        <v>45987</v>
      </c>
      <c r="C108" s="70">
        <v>45988</v>
      </c>
      <c r="D108" s="79">
        <v>0.83333333333333337</v>
      </c>
      <c r="E108" s="79">
        <v>0.33333333333333331</v>
      </c>
      <c r="F108" s="76">
        <v>727000</v>
      </c>
      <c r="G108" s="76">
        <v>727000</v>
      </c>
      <c r="H108" s="82" t="s">
        <v>12</v>
      </c>
      <c r="I108" s="80">
        <v>987263001133</v>
      </c>
      <c r="J108" s="80">
        <v>925337388812755</v>
      </c>
      <c r="K108" s="73" t="s">
        <v>24</v>
      </c>
      <c r="L108" s="73" t="s">
        <v>27</v>
      </c>
      <c r="M108" s="71" t="s">
        <v>13</v>
      </c>
    </row>
    <row r="109" spans="1:13" x14ac:dyDescent="0.35">
      <c r="A109" s="73">
        <v>106</v>
      </c>
      <c r="B109" s="70">
        <v>45988</v>
      </c>
      <c r="C109" s="70">
        <v>45988</v>
      </c>
      <c r="D109" s="79">
        <v>0.33333333333333331</v>
      </c>
      <c r="E109" s="79">
        <v>0.83333333333333337</v>
      </c>
      <c r="F109" s="76">
        <v>362000</v>
      </c>
      <c r="G109" s="76">
        <v>362000</v>
      </c>
      <c r="H109" s="82" t="s">
        <v>12</v>
      </c>
      <c r="I109" s="80">
        <v>987263001747</v>
      </c>
      <c r="J109" s="80">
        <v>925337388810844</v>
      </c>
      <c r="K109" s="73" t="s">
        <v>19</v>
      </c>
      <c r="L109" s="73" t="s">
        <v>27</v>
      </c>
      <c r="M109" s="71" t="s">
        <v>21</v>
      </c>
    </row>
    <row r="110" spans="1:13" x14ac:dyDescent="0.35">
      <c r="A110" s="73">
        <v>107</v>
      </c>
      <c r="B110" s="70">
        <v>45988</v>
      </c>
      <c r="C110" s="70">
        <v>45988</v>
      </c>
      <c r="D110" s="79">
        <v>0.33333333333333331</v>
      </c>
      <c r="E110" s="79">
        <v>0.83333333333333337</v>
      </c>
      <c r="F110" s="76">
        <v>1367000</v>
      </c>
      <c r="G110" s="76">
        <v>1367000</v>
      </c>
      <c r="H110" s="82" t="s">
        <v>12</v>
      </c>
      <c r="I110" s="80">
        <v>987263001747</v>
      </c>
      <c r="J110" s="80">
        <v>925337388810844</v>
      </c>
      <c r="K110" s="73" t="s">
        <v>140</v>
      </c>
      <c r="L110" s="73" t="s">
        <v>27</v>
      </c>
      <c r="M110" s="71" t="s">
        <v>13</v>
      </c>
    </row>
    <row r="111" spans="1:13" x14ac:dyDescent="0.35">
      <c r="A111" s="73">
        <v>108</v>
      </c>
      <c r="B111" s="70">
        <v>45988</v>
      </c>
      <c r="C111" s="70">
        <v>45989</v>
      </c>
      <c r="D111" s="79">
        <v>0.83333333333333337</v>
      </c>
      <c r="E111" s="79">
        <v>0.33333333333333331</v>
      </c>
      <c r="F111" s="76">
        <v>278000</v>
      </c>
      <c r="G111" s="76">
        <v>278000</v>
      </c>
      <c r="H111" s="82" t="s">
        <v>12</v>
      </c>
      <c r="I111" s="80">
        <v>987263001747</v>
      </c>
      <c r="J111" s="80">
        <v>925337388810844</v>
      </c>
      <c r="K111" s="73" t="s">
        <v>25</v>
      </c>
      <c r="L111" s="73" t="s">
        <v>27</v>
      </c>
      <c r="M111" s="71" t="s">
        <v>21</v>
      </c>
    </row>
    <row r="112" spans="1:13" x14ac:dyDescent="0.35">
      <c r="A112" s="73">
        <v>109</v>
      </c>
      <c r="B112" s="70">
        <v>45988</v>
      </c>
      <c r="C112" s="70">
        <v>45989</v>
      </c>
      <c r="D112" s="79">
        <v>0.83333333333333337</v>
      </c>
      <c r="E112" s="79">
        <v>0.33333333333333331</v>
      </c>
      <c r="F112" s="76">
        <v>566000</v>
      </c>
      <c r="G112" s="76">
        <v>566000</v>
      </c>
      <c r="H112" s="82" t="s">
        <v>12</v>
      </c>
      <c r="I112" s="80">
        <v>987263001747</v>
      </c>
      <c r="J112" s="80">
        <v>925337388810844</v>
      </c>
      <c r="K112" s="73" t="s">
        <v>24</v>
      </c>
      <c r="L112" s="73" t="s">
        <v>27</v>
      </c>
      <c r="M112" s="71" t="s">
        <v>13</v>
      </c>
    </row>
    <row r="113" spans="1:13" x14ac:dyDescent="0.35">
      <c r="A113" s="73">
        <v>110</v>
      </c>
      <c r="B113" s="70">
        <v>45989</v>
      </c>
      <c r="C113" s="70">
        <v>45989</v>
      </c>
      <c r="D113" s="79">
        <v>0.33333333333333331</v>
      </c>
      <c r="E113" s="79">
        <v>0.83333333333333337</v>
      </c>
      <c r="F113" s="76">
        <v>442000</v>
      </c>
      <c r="G113" s="76">
        <v>442000</v>
      </c>
      <c r="H113" s="82" t="s">
        <v>12</v>
      </c>
      <c r="I113" s="80">
        <v>987263001759</v>
      </c>
      <c r="J113" s="80">
        <v>925337388811767</v>
      </c>
      <c r="K113" s="73" t="s">
        <v>16</v>
      </c>
      <c r="L113" s="73" t="s">
        <v>27</v>
      </c>
      <c r="M113" s="71" t="s">
        <v>21</v>
      </c>
    </row>
    <row r="114" spans="1:13" x14ac:dyDescent="0.35">
      <c r="A114" s="73">
        <v>111</v>
      </c>
      <c r="B114" s="70">
        <v>45989</v>
      </c>
      <c r="C114" s="70">
        <v>45989</v>
      </c>
      <c r="D114" s="79">
        <v>0.33333333333333331</v>
      </c>
      <c r="E114" s="79">
        <v>0.83333333333333337</v>
      </c>
      <c r="F114" s="76">
        <v>1419000</v>
      </c>
      <c r="G114" s="76">
        <v>1419000</v>
      </c>
      <c r="H114" s="82" t="s">
        <v>12</v>
      </c>
      <c r="I114" s="80">
        <v>987263001759</v>
      </c>
      <c r="J114" s="80">
        <v>925337388811767</v>
      </c>
      <c r="K114" s="73" t="s">
        <v>15</v>
      </c>
      <c r="L114" s="73" t="s">
        <v>27</v>
      </c>
      <c r="M114" s="71" t="s">
        <v>13</v>
      </c>
    </row>
    <row r="115" spans="1:13" x14ac:dyDescent="0.35">
      <c r="A115" s="73">
        <v>112</v>
      </c>
      <c r="B115" s="70">
        <v>45989</v>
      </c>
      <c r="C115" s="70">
        <v>45990</v>
      </c>
      <c r="D115" s="79">
        <v>0.83333333333333337</v>
      </c>
      <c r="E115" s="79">
        <v>0.33333333333333331</v>
      </c>
      <c r="F115" s="76">
        <v>230000</v>
      </c>
      <c r="G115" s="76">
        <v>230000</v>
      </c>
      <c r="H115" s="82" t="s">
        <v>12</v>
      </c>
      <c r="I115" s="80">
        <v>987263001759</v>
      </c>
      <c r="J115" s="80">
        <v>925337388811767</v>
      </c>
      <c r="K115" s="73" t="s">
        <v>19</v>
      </c>
      <c r="L115" s="73" t="s">
        <v>27</v>
      </c>
      <c r="M115" s="71" t="s">
        <v>21</v>
      </c>
    </row>
    <row r="116" spans="1:13" x14ac:dyDescent="0.35">
      <c r="A116" s="73">
        <v>113</v>
      </c>
      <c r="B116" s="70">
        <v>45989</v>
      </c>
      <c r="C116" s="70">
        <v>45990</v>
      </c>
      <c r="D116" s="79">
        <v>0.83333333333333337</v>
      </c>
      <c r="E116" s="79">
        <v>0.33333333333333331</v>
      </c>
      <c r="F116" s="76">
        <v>553000</v>
      </c>
      <c r="G116" s="76">
        <v>553000</v>
      </c>
      <c r="H116" s="82" t="s">
        <v>12</v>
      </c>
      <c r="I116" s="80">
        <v>987263001759</v>
      </c>
      <c r="J116" s="80">
        <v>925337388811767</v>
      </c>
      <c r="K116" s="73" t="s">
        <v>140</v>
      </c>
      <c r="L116" s="73" t="s">
        <v>27</v>
      </c>
      <c r="M116" s="71" t="s">
        <v>13</v>
      </c>
    </row>
    <row r="117" spans="1:13" x14ac:dyDescent="0.35">
      <c r="A117" s="73">
        <v>114</v>
      </c>
      <c r="B117" s="70">
        <v>45990</v>
      </c>
      <c r="C117" s="70">
        <v>45990</v>
      </c>
      <c r="D117" s="79">
        <v>0.33333333333333331</v>
      </c>
      <c r="E117" s="79">
        <v>0.83333333333333337</v>
      </c>
      <c r="F117" s="76">
        <v>559000</v>
      </c>
      <c r="G117" s="76">
        <v>559000</v>
      </c>
      <c r="H117" s="82" t="s">
        <v>12</v>
      </c>
      <c r="I117" s="80">
        <v>987263001765</v>
      </c>
      <c r="J117" s="80">
        <v>925337388811317</v>
      </c>
      <c r="K117" s="73" t="s">
        <v>16</v>
      </c>
      <c r="L117" s="73" t="s">
        <v>27</v>
      </c>
      <c r="M117" s="71" t="s">
        <v>21</v>
      </c>
    </row>
    <row r="118" spans="1:13" x14ac:dyDescent="0.35">
      <c r="A118" s="73">
        <v>115</v>
      </c>
      <c r="B118" s="70">
        <v>45990</v>
      </c>
      <c r="C118" s="70">
        <v>45990</v>
      </c>
      <c r="D118" s="79">
        <v>0.33333333333333331</v>
      </c>
      <c r="E118" s="79">
        <v>0.83333333333333337</v>
      </c>
      <c r="F118" s="76">
        <v>1432000</v>
      </c>
      <c r="G118" s="76">
        <v>1432000</v>
      </c>
      <c r="H118" s="82" t="s">
        <v>12</v>
      </c>
      <c r="I118" s="80">
        <v>987263001765</v>
      </c>
      <c r="J118" s="80">
        <v>925337388811317</v>
      </c>
      <c r="K118" s="73" t="s">
        <v>15</v>
      </c>
      <c r="L118" s="73" t="s">
        <v>27</v>
      </c>
      <c r="M118" s="71" t="s">
        <v>13</v>
      </c>
    </row>
    <row r="119" spans="1:13" x14ac:dyDescent="0.35">
      <c r="A119" s="73">
        <v>116</v>
      </c>
      <c r="B119" s="70">
        <v>45990</v>
      </c>
      <c r="C119" s="70">
        <v>45991</v>
      </c>
      <c r="D119" s="79">
        <v>0.83333333333333337</v>
      </c>
      <c r="E119" s="79">
        <v>0.33333333333333331</v>
      </c>
      <c r="F119" s="76">
        <v>247000</v>
      </c>
      <c r="G119" s="76">
        <v>247000</v>
      </c>
      <c r="H119" s="82" t="s">
        <v>12</v>
      </c>
      <c r="I119" s="80">
        <v>987263001765</v>
      </c>
      <c r="J119" s="80">
        <v>925337388811317</v>
      </c>
      <c r="K119" s="73" t="s">
        <v>19</v>
      </c>
      <c r="L119" s="73" t="s">
        <v>27</v>
      </c>
      <c r="M119" s="71" t="s">
        <v>141</v>
      </c>
    </row>
    <row r="120" spans="1:13" x14ac:dyDescent="0.35">
      <c r="A120" s="73">
        <v>117</v>
      </c>
      <c r="B120" s="70">
        <v>45990</v>
      </c>
      <c r="C120" s="70">
        <v>45991</v>
      </c>
      <c r="D120" s="79">
        <v>0.83333333333333337</v>
      </c>
      <c r="E120" s="79">
        <v>0.33333333333333331</v>
      </c>
      <c r="F120" s="76">
        <v>596000</v>
      </c>
      <c r="G120" s="76">
        <v>596000</v>
      </c>
      <c r="H120" s="82" t="s">
        <v>12</v>
      </c>
      <c r="I120" s="80">
        <v>987263001765</v>
      </c>
      <c r="J120" s="80">
        <v>925337388811317</v>
      </c>
      <c r="K120" s="73" t="s">
        <v>140</v>
      </c>
      <c r="L120" s="73" t="s">
        <v>27</v>
      </c>
      <c r="M120" s="71" t="s">
        <v>13</v>
      </c>
    </row>
    <row r="121" spans="1:13" x14ac:dyDescent="0.35">
      <c r="A121" s="73">
        <v>118</v>
      </c>
      <c r="B121" s="70">
        <v>45991</v>
      </c>
      <c r="C121" s="70">
        <v>45991</v>
      </c>
      <c r="D121" s="79">
        <v>0.33333333333333331</v>
      </c>
      <c r="E121" s="79">
        <v>0.83333333333333337</v>
      </c>
      <c r="F121" s="76">
        <v>639000</v>
      </c>
      <c r="G121" s="76">
        <v>639000</v>
      </c>
      <c r="H121" s="82" t="s">
        <v>12</v>
      </c>
      <c r="I121" s="80">
        <v>987263001777</v>
      </c>
      <c r="J121" s="80">
        <v>925337388810818</v>
      </c>
      <c r="K121" s="73" t="s">
        <v>25</v>
      </c>
      <c r="L121" s="73" t="s">
        <v>27</v>
      </c>
      <c r="M121" s="71" t="s">
        <v>21</v>
      </c>
    </row>
    <row r="122" spans="1:13" x14ac:dyDescent="0.35">
      <c r="A122" s="73">
        <v>119</v>
      </c>
      <c r="B122" s="70">
        <v>45991</v>
      </c>
      <c r="C122" s="70">
        <v>45991</v>
      </c>
      <c r="D122" s="79">
        <v>0.33333333333333331</v>
      </c>
      <c r="E122" s="79">
        <v>0.83333333333333337</v>
      </c>
      <c r="F122" s="76">
        <v>1431000</v>
      </c>
      <c r="G122" s="76">
        <v>1431000</v>
      </c>
      <c r="H122" s="82" t="s">
        <v>12</v>
      </c>
      <c r="I122" s="80">
        <v>987263001777</v>
      </c>
      <c r="J122" s="80">
        <v>925337388810818</v>
      </c>
      <c r="K122" s="73" t="s">
        <v>24</v>
      </c>
      <c r="L122" s="73" t="s">
        <v>27</v>
      </c>
      <c r="M122" s="71" t="s">
        <v>13</v>
      </c>
    </row>
    <row r="123" spans="1:13" x14ac:dyDescent="0.35">
      <c r="A123" s="73">
        <v>120</v>
      </c>
      <c r="B123" s="70">
        <v>45991</v>
      </c>
      <c r="C123" s="70">
        <v>45992</v>
      </c>
      <c r="D123" s="79">
        <v>0.83333333333333337</v>
      </c>
      <c r="E123" s="79">
        <v>0.33333333333333331</v>
      </c>
      <c r="F123" s="76">
        <v>119000</v>
      </c>
      <c r="G123" s="76">
        <v>119000</v>
      </c>
      <c r="H123" s="82" t="s">
        <v>12</v>
      </c>
      <c r="I123" s="80">
        <v>987263001777</v>
      </c>
      <c r="J123" s="80">
        <v>925337388810818</v>
      </c>
      <c r="K123" s="73" t="s">
        <v>16</v>
      </c>
      <c r="L123" s="73" t="s">
        <v>27</v>
      </c>
      <c r="M123" s="71" t="s">
        <v>21</v>
      </c>
    </row>
    <row r="124" spans="1:13" x14ac:dyDescent="0.35">
      <c r="A124" s="73">
        <v>121</v>
      </c>
      <c r="B124" s="70">
        <v>45991</v>
      </c>
      <c r="C124" s="70">
        <v>45992</v>
      </c>
      <c r="D124" s="79">
        <v>0.83333333333333337</v>
      </c>
      <c r="E124" s="79">
        <v>0.33333333333333331</v>
      </c>
      <c r="F124" s="76">
        <v>563000</v>
      </c>
      <c r="G124" s="76">
        <v>563000</v>
      </c>
      <c r="H124" s="82" t="s">
        <v>12</v>
      </c>
      <c r="I124" s="80">
        <v>987263001777</v>
      </c>
      <c r="J124" s="80">
        <v>925337388810818</v>
      </c>
      <c r="K124" s="73" t="s">
        <v>15</v>
      </c>
      <c r="L124" s="73" t="s">
        <v>27</v>
      </c>
      <c r="M124" s="71" t="s">
        <v>13</v>
      </c>
    </row>
    <row r="125" spans="1:13" x14ac:dyDescent="0.35">
      <c r="A125" s="74"/>
      <c r="B125" s="72"/>
      <c r="C125" s="72"/>
      <c r="D125" s="72"/>
      <c r="E125" s="74"/>
      <c r="F125" s="77"/>
      <c r="G125" s="77"/>
      <c r="H125" s="72"/>
      <c r="I125" s="74"/>
      <c r="J125" s="74"/>
      <c r="K125" s="74"/>
      <c r="L125" s="74"/>
      <c r="M125" s="72"/>
    </row>
    <row r="126" spans="1:13" x14ac:dyDescent="0.35">
      <c r="A126" s="75"/>
      <c r="B126" s="75"/>
      <c r="C126" s="75"/>
      <c r="D126" s="75"/>
      <c r="E126" s="75"/>
      <c r="F126" s="78">
        <f>SUM(F5:F125)</f>
        <v>55864000</v>
      </c>
      <c r="G126" s="78">
        <f>SUM(G5:G125)</f>
        <v>55864000</v>
      </c>
      <c r="H126" s="75"/>
      <c r="I126" s="81"/>
      <c r="J126" s="81"/>
      <c r="K126" s="81"/>
      <c r="L126" s="81"/>
      <c r="M126" s="75"/>
    </row>
  </sheetData>
  <mergeCells count="5">
    <mergeCell ref="D5:M16"/>
    <mergeCell ref="F19:L20"/>
    <mergeCell ref="A1:L1"/>
    <mergeCell ref="A2:L2"/>
    <mergeCell ref="A3:L3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D0F4-B1F5-41F9-8AF8-52A1A209917C}">
  <dimension ref="A1:M129"/>
  <sheetViews>
    <sheetView topLeftCell="A118" zoomScale="115" zoomScaleNormal="115" workbookViewId="0">
      <selection activeCell="F6" sqref="F6"/>
    </sheetView>
  </sheetViews>
  <sheetFormatPr defaultRowHeight="14.5" x14ac:dyDescent="0.35"/>
  <cols>
    <col min="1" max="1" width="6.81640625" style="1" customWidth="1"/>
    <col min="2" max="2" width="11.81640625" customWidth="1"/>
    <col min="3" max="3" width="12.453125" customWidth="1"/>
    <col min="4" max="4" width="10.26953125" customWidth="1"/>
    <col min="5" max="5" width="11.26953125" customWidth="1"/>
    <col min="6" max="6" width="17.453125" customWidth="1"/>
    <col min="7" max="7" width="17.6328125" customWidth="1"/>
    <col min="8" max="8" width="11.1796875" customWidth="1"/>
    <col min="9" max="9" width="14.6328125" customWidth="1"/>
    <col min="10" max="10" width="15.36328125" customWidth="1"/>
    <col min="11" max="11" width="15.08984375" customWidth="1"/>
    <col min="12" max="12" width="18.6328125" customWidth="1"/>
    <col min="13" max="13" width="14" customWidth="1"/>
  </cols>
  <sheetData>
    <row r="1" spans="1:13" ht="15.5" x14ac:dyDescent="0.35">
      <c r="A1" s="151"/>
      <c r="B1" s="361" t="s">
        <v>50</v>
      </c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3"/>
    </row>
    <row r="2" spans="1:13" ht="15.5" x14ac:dyDescent="0.35">
      <c r="A2" s="151"/>
      <c r="B2" s="364">
        <v>45992</v>
      </c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6"/>
    </row>
    <row r="3" spans="1:13" ht="15.5" x14ac:dyDescent="0.35">
      <c r="A3" s="151"/>
      <c r="B3" s="361" t="s">
        <v>51</v>
      </c>
      <c r="C3" s="362"/>
      <c r="D3" s="362"/>
      <c r="E3" s="362"/>
      <c r="F3" s="362"/>
      <c r="G3" s="362"/>
      <c r="H3" s="362"/>
      <c r="I3" s="362"/>
      <c r="J3" s="362"/>
      <c r="K3" s="362"/>
      <c r="L3" s="362"/>
      <c r="M3" s="363"/>
    </row>
    <row r="4" spans="1:13" x14ac:dyDescent="0.35">
      <c r="A4" s="93" t="s">
        <v>52</v>
      </c>
      <c r="B4" s="94" t="s">
        <v>2</v>
      </c>
      <c r="C4" s="93" t="s">
        <v>3</v>
      </c>
      <c r="D4" s="93" t="s">
        <v>0</v>
      </c>
      <c r="E4" s="93" t="s">
        <v>1</v>
      </c>
      <c r="F4" s="95" t="s">
        <v>10</v>
      </c>
      <c r="G4" s="96" t="s">
        <v>9</v>
      </c>
      <c r="H4" s="96" t="s">
        <v>11</v>
      </c>
      <c r="I4" s="97" t="s">
        <v>18</v>
      </c>
      <c r="J4" s="93" t="s">
        <v>17</v>
      </c>
      <c r="K4" s="98" t="s">
        <v>5</v>
      </c>
      <c r="L4" s="93" t="s">
        <v>8</v>
      </c>
      <c r="M4" s="99" t="s">
        <v>6</v>
      </c>
    </row>
    <row r="5" spans="1:13" x14ac:dyDescent="0.35">
      <c r="A5" s="100">
        <v>1</v>
      </c>
      <c r="B5" s="101">
        <v>45992</v>
      </c>
      <c r="C5" s="101">
        <v>45992</v>
      </c>
      <c r="D5" s="102">
        <v>0.33333333333333331</v>
      </c>
      <c r="E5" s="102">
        <v>0.83333333333333337</v>
      </c>
      <c r="F5" s="103">
        <v>509000</v>
      </c>
      <c r="G5" s="103">
        <f t="shared" ref="G5:G36" si="0">SUM(F5)</f>
        <v>509000</v>
      </c>
      <c r="H5" s="104" t="s">
        <v>12</v>
      </c>
      <c r="I5" s="105">
        <v>987263001967</v>
      </c>
      <c r="J5" s="105">
        <v>925338389135821</v>
      </c>
      <c r="K5" s="106" t="s">
        <v>142</v>
      </c>
      <c r="L5" s="100" t="s">
        <v>27</v>
      </c>
      <c r="M5" s="107" t="s">
        <v>22</v>
      </c>
    </row>
    <row r="6" spans="1:13" x14ac:dyDescent="0.35">
      <c r="A6" s="100">
        <v>2</v>
      </c>
      <c r="B6" s="101">
        <v>45992</v>
      </c>
      <c r="C6" s="101">
        <v>45992</v>
      </c>
      <c r="D6" s="102">
        <v>0.375</v>
      </c>
      <c r="E6" s="102">
        <v>0.83333333333333337</v>
      </c>
      <c r="F6" s="103">
        <v>1122000</v>
      </c>
      <c r="G6" s="103">
        <f t="shared" si="0"/>
        <v>1122000</v>
      </c>
      <c r="H6" s="104" t="s">
        <v>12</v>
      </c>
      <c r="I6" s="105">
        <v>987263001967</v>
      </c>
      <c r="J6" s="105">
        <v>925338389135821</v>
      </c>
      <c r="K6" s="106" t="s">
        <v>24</v>
      </c>
      <c r="L6" s="100" t="s">
        <v>27</v>
      </c>
      <c r="M6" s="107" t="s">
        <v>124</v>
      </c>
    </row>
    <row r="7" spans="1:13" x14ac:dyDescent="0.35">
      <c r="A7" s="100">
        <v>3</v>
      </c>
      <c r="B7" s="101">
        <v>45992</v>
      </c>
      <c r="C7" s="101">
        <v>45932</v>
      </c>
      <c r="D7" s="102">
        <v>0.41666666666666702</v>
      </c>
      <c r="E7" s="102">
        <v>0.33333333333333331</v>
      </c>
      <c r="F7" s="103">
        <v>180000</v>
      </c>
      <c r="G7" s="103">
        <f t="shared" si="0"/>
        <v>180000</v>
      </c>
      <c r="H7" s="104" t="s">
        <v>12</v>
      </c>
      <c r="I7" s="105">
        <v>987263001967</v>
      </c>
      <c r="J7" s="105">
        <v>925338389135821</v>
      </c>
      <c r="K7" s="106" t="s">
        <v>143</v>
      </c>
      <c r="L7" s="100" t="s">
        <v>27</v>
      </c>
      <c r="M7" s="107" t="s">
        <v>22</v>
      </c>
    </row>
    <row r="8" spans="1:13" x14ac:dyDescent="0.35">
      <c r="A8" s="100">
        <v>4</v>
      </c>
      <c r="B8" s="101">
        <v>45931</v>
      </c>
      <c r="C8" s="101">
        <v>45993</v>
      </c>
      <c r="D8" s="102">
        <v>0.45833333333333298</v>
      </c>
      <c r="E8" s="102">
        <v>0.33333333333333331</v>
      </c>
      <c r="F8" s="103">
        <v>545000</v>
      </c>
      <c r="G8" s="103">
        <f t="shared" si="0"/>
        <v>545000</v>
      </c>
      <c r="H8" s="104" t="s">
        <v>12</v>
      </c>
      <c r="I8" s="105">
        <v>987263001967</v>
      </c>
      <c r="J8" s="105">
        <v>925338389135821</v>
      </c>
      <c r="K8" s="106" t="s">
        <v>15</v>
      </c>
      <c r="L8" s="100" t="s">
        <v>27</v>
      </c>
      <c r="M8" s="107" t="s">
        <v>124</v>
      </c>
    </row>
    <row r="9" spans="1:13" x14ac:dyDescent="0.35">
      <c r="A9" s="100">
        <v>5</v>
      </c>
      <c r="B9" s="101">
        <v>45993</v>
      </c>
      <c r="C9" s="101">
        <v>45993</v>
      </c>
      <c r="D9" s="102">
        <v>0.5</v>
      </c>
      <c r="E9" s="102">
        <v>0.83333333333333337</v>
      </c>
      <c r="F9" s="103">
        <v>548000</v>
      </c>
      <c r="G9" s="103">
        <f t="shared" si="0"/>
        <v>548000</v>
      </c>
      <c r="H9" s="104" t="s">
        <v>12</v>
      </c>
      <c r="I9" s="105">
        <v>987263009292</v>
      </c>
      <c r="J9" s="105">
        <v>925338389135469</v>
      </c>
      <c r="K9" s="106" t="s">
        <v>19</v>
      </c>
      <c r="L9" s="100" t="s">
        <v>27</v>
      </c>
      <c r="M9" s="107" t="s">
        <v>22</v>
      </c>
    </row>
    <row r="10" spans="1:13" x14ac:dyDescent="0.35">
      <c r="A10" s="100">
        <v>6</v>
      </c>
      <c r="B10" s="101">
        <v>45993</v>
      </c>
      <c r="C10" s="101">
        <v>45993</v>
      </c>
      <c r="D10" s="102">
        <v>0.54166666666666696</v>
      </c>
      <c r="E10" s="102">
        <v>0.83333333333333337</v>
      </c>
      <c r="F10" s="103">
        <v>1160000</v>
      </c>
      <c r="G10" s="103">
        <f t="shared" si="0"/>
        <v>1160000</v>
      </c>
      <c r="H10" s="104" t="s">
        <v>12</v>
      </c>
      <c r="I10" s="105">
        <v>987263009292</v>
      </c>
      <c r="J10" s="105">
        <v>925338389135469</v>
      </c>
      <c r="K10" s="106" t="s">
        <v>140</v>
      </c>
      <c r="L10" s="100" t="s">
        <v>27</v>
      </c>
      <c r="M10" s="107" t="s">
        <v>124</v>
      </c>
    </row>
    <row r="11" spans="1:13" x14ac:dyDescent="0.35">
      <c r="A11" s="100">
        <v>7</v>
      </c>
      <c r="B11" s="101">
        <v>45993</v>
      </c>
      <c r="C11" s="101">
        <v>45994</v>
      </c>
      <c r="D11" s="102">
        <v>0.58333333333333304</v>
      </c>
      <c r="E11" s="102">
        <v>0.33333333333333331</v>
      </c>
      <c r="F11" s="103">
        <v>160000</v>
      </c>
      <c r="G11" s="103">
        <f t="shared" si="0"/>
        <v>160000</v>
      </c>
      <c r="H11" s="104" t="s">
        <v>12</v>
      </c>
      <c r="I11" s="105">
        <v>987263009292</v>
      </c>
      <c r="J11" s="105">
        <v>925338389135469</v>
      </c>
      <c r="K11" s="108" t="s">
        <v>142</v>
      </c>
      <c r="L11" s="100" t="s">
        <v>27</v>
      </c>
      <c r="M11" s="107" t="s">
        <v>22</v>
      </c>
    </row>
    <row r="12" spans="1:13" x14ac:dyDescent="0.35">
      <c r="A12" s="100">
        <v>8</v>
      </c>
      <c r="B12" s="101">
        <v>45993</v>
      </c>
      <c r="C12" s="101">
        <v>45994</v>
      </c>
      <c r="D12" s="102">
        <v>0.625</v>
      </c>
      <c r="E12" s="102">
        <v>0.33333333333333331</v>
      </c>
      <c r="F12" s="103">
        <v>417000</v>
      </c>
      <c r="G12" s="103">
        <f t="shared" si="0"/>
        <v>417000</v>
      </c>
      <c r="H12" s="104" t="s">
        <v>12</v>
      </c>
      <c r="I12" s="105">
        <v>987263009292</v>
      </c>
      <c r="J12" s="105">
        <v>925338389135469</v>
      </c>
      <c r="K12" s="108" t="s">
        <v>24</v>
      </c>
      <c r="L12" s="100" t="s">
        <v>27</v>
      </c>
      <c r="M12" s="107" t="s">
        <v>124</v>
      </c>
    </row>
    <row r="13" spans="1:13" x14ac:dyDescent="0.35">
      <c r="A13" s="100">
        <v>9</v>
      </c>
      <c r="B13" s="101">
        <v>45994</v>
      </c>
      <c r="C13" s="101">
        <v>45994</v>
      </c>
      <c r="D13" s="102">
        <v>0.66666666666666696</v>
      </c>
      <c r="E13" s="102">
        <v>0.83333333333333337</v>
      </c>
      <c r="F13" s="103">
        <v>289000</v>
      </c>
      <c r="G13" s="103">
        <f t="shared" si="0"/>
        <v>289000</v>
      </c>
      <c r="H13" s="104" t="s">
        <v>12</v>
      </c>
      <c r="I13" s="105">
        <v>987263019542</v>
      </c>
      <c r="J13" s="105">
        <v>925338389167665</v>
      </c>
      <c r="K13" s="108" t="s">
        <v>19</v>
      </c>
      <c r="L13" s="100" t="s">
        <v>27</v>
      </c>
      <c r="M13" s="107" t="s">
        <v>22</v>
      </c>
    </row>
    <row r="14" spans="1:13" x14ac:dyDescent="0.35">
      <c r="A14" s="100">
        <v>10</v>
      </c>
      <c r="B14" s="101">
        <v>45994</v>
      </c>
      <c r="C14" s="101">
        <v>45994</v>
      </c>
      <c r="D14" s="102">
        <v>0.70833333333333304</v>
      </c>
      <c r="E14" s="102">
        <v>0.83333333333333337</v>
      </c>
      <c r="F14" s="103">
        <v>1148000</v>
      </c>
      <c r="G14" s="103">
        <f t="shared" si="0"/>
        <v>1148000</v>
      </c>
      <c r="H14" s="104" t="s">
        <v>12</v>
      </c>
      <c r="I14" s="105">
        <v>987263019542</v>
      </c>
      <c r="J14" s="105">
        <v>925338389167665</v>
      </c>
      <c r="K14" s="108" t="s">
        <v>140</v>
      </c>
      <c r="L14" s="100" t="s">
        <v>27</v>
      </c>
      <c r="M14" s="107" t="s">
        <v>124</v>
      </c>
    </row>
    <row r="15" spans="1:13" x14ac:dyDescent="0.35">
      <c r="A15" s="100">
        <v>11</v>
      </c>
      <c r="B15" s="101">
        <v>45994</v>
      </c>
      <c r="C15" s="101">
        <v>45995</v>
      </c>
      <c r="D15" s="102">
        <v>0.75</v>
      </c>
      <c r="E15" s="102">
        <v>0.33333333333333331</v>
      </c>
      <c r="F15" s="103">
        <v>208000</v>
      </c>
      <c r="G15" s="103">
        <f t="shared" si="0"/>
        <v>208000</v>
      </c>
      <c r="H15" s="104" t="s">
        <v>12</v>
      </c>
      <c r="I15" s="105">
        <v>987263019542</v>
      </c>
      <c r="J15" s="105">
        <v>925338389167665</v>
      </c>
      <c r="K15" s="108" t="s">
        <v>142</v>
      </c>
      <c r="L15" s="100" t="s">
        <v>27</v>
      </c>
      <c r="M15" s="107" t="s">
        <v>22</v>
      </c>
    </row>
    <row r="16" spans="1:13" x14ac:dyDescent="0.35">
      <c r="A16" s="100">
        <v>12</v>
      </c>
      <c r="B16" s="101">
        <v>45994</v>
      </c>
      <c r="C16" s="101">
        <v>45995</v>
      </c>
      <c r="D16" s="102">
        <v>0.79166666666666696</v>
      </c>
      <c r="E16" s="102">
        <v>0.33333333333333331</v>
      </c>
      <c r="F16" s="103">
        <v>552000</v>
      </c>
      <c r="G16" s="103">
        <f t="shared" si="0"/>
        <v>552000</v>
      </c>
      <c r="H16" s="104" t="s">
        <v>12</v>
      </c>
      <c r="I16" s="105">
        <v>987263019542</v>
      </c>
      <c r="J16" s="105">
        <v>925338389167665</v>
      </c>
      <c r="K16" s="108" t="s">
        <v>24</v>
      </c>
      <c r="L16" s="100" t="s">
        <v>27</v>
      </c>
      <c r="M16" s="107" t="s">
        <v>124</v>
      </c>
    </row>
    <row r="17" spans="1:13" x14ac:dyDescent="0.35">
      <c r="A17" s="100">
        <v>13</v>
      </c>
      <c r="B17" s="101">
        <v>45995</v>
      </c>
      <c r="C17" s="101">
        <v>45995</v>
      </c>
      <c r="D17" s="102">
        <v>0.33333333333333331</v>
      </c>
      <c r="E17" s="102">
        <v>0.83333333333333337</v>
      </c>
      <c r="F17" s="103">
        <v>763000</v>
      </c>
      <c r="G17" s="103">
        <f t="shared" si="0"/>
        <v>763000</v>
      </c>
      <c r="H17" s="104" t="s">
        <v>12</v>
      </c>
      <c r="I17" s="105">
        <v>987263025860</v>
      </c>
      <c r="J17" s="105">
        <v>925340389803552</v>
      </c>
      <c r="K17" s="108" t="s">
        <v>143</v>
      </c>
      <c r="L17" s="100" t="s">
        <v>27</v>
      </c>
      <c r="M17" s="107" t="s">
        <v>22</v>
      </c>
    </row>
    <row r="18" spans="1:13" x14ac:dyDescent="0.35">
      <c r="A18" s="100">
        <v>14</v>
      </c>
      <c r="B18" s="101">
        <v>45995</v>
      </c>
      <c r="C18" s="101">
        <v>45995</v>
      </c>
      <c r="D18" s="102">
        <v>0.33333333333333331</v>
      </c>
      <c r="E18" s="102">
        <v>0.83333333333333337</v>
      </c>
      <c r="F18" s="103">
        <v>1161000</v>
      </c>
      <c r="G18" s="103">
        <f t="shared" si="0"/>
        <v>1161000</v>
      </c>
      <c r="H18" s="104" t="s">
        <v>12</v>
      </c>
      <c r="I18" s="105">
        <v>987263025860</v>
      </c>
      <c r="J18" s="105">
        <v>925340389803552</v>
      </c>
      <c r="K18" s="108" t="s">
        <v>15</v>
      </c>
      <c r="L18" s="100" t="s">
        <v>27</v>
      </c>
      <c r="M18" s="107" t="s">
        <v>124</v>
      </c>
    </row>
    <row r="19" spans="1:13" x14ac:dyDescent="0.35">
      <c r="A19" s="100">
        <v>15</v>
      </c>
      <c r="B19" s="101">
        <v>45995</v>
      </c>
      <c r="C19" s="101">
        <v>45996</v>
      </c>
      <c r="D19" s="102">
        <v>0.83333333333333337</v>
      </c>
      <c r="E19" s="102">
        <v>0.33333333333333331</v>
      </c>
      <c r="F19" s="103">
        <v>133000</v>
      </c>
      <c r="G19" s="103">
        <f t="shared" si="0"/>
        <v>133000</v>
      </c>
      <c r="H19" s="104" t="s">
        <v>12</v>
      </c>
      <c r="I19" s="105">
        <v>987263025860</v>
      </c>
      <c r="J19" s="105">
        <v>925340389803552</v>
      </c>
      <c r="K19" s="108" t="s">
        <v>19</v>
      </c>
      <c r="L19" s="100" t="s">
        <v>27</v>
      </c>
      <c r="M19" s="107" t="s">
        <v>22</v>
      </c>
    </row>
    <row r="20" spans="1:13" x14ac:dyDescent="0.35">
      <c r="A20" s="100">
        <v>16</v>
      </c>
      <c r="B20" s="101">
        <v>45995</v>
      </c>
      <c r="C20" s="101">
        <v>45996</v>
      </c>
      <c r="D20" s="102">
        <v>0.83333333333333337</v>
      </c>
      <c r="E20" s="102">
        <v>0.33333333333333331</v>
      </c>
      <c r="F20" s="103">
        <v>438000</v>
      </c>
      <c r="G20" s="103">
        <f t="shared" si="0"/>
        <v>438000</v>
      </c>
      <c r="H20" s="104" t="s">
        <v>12</v>
      </c>
      <c r="I20" s="105">
        <v>987263025860</v>
      </c>
      <c r="J20" s="105">
        <v>925340389803552</v>
      </c>
      <c r="K20" s="108" t="s">
        <v>140</v>
      </c>
      <c r="L20" s="100" t="s">
        <v>27</v>
      </c>
      <c r="M20" s="107" t="s">
        <v>124</v>
      </c>
    </row>
    <row r="21" spans="1:13" x14ac:dyDescent="0.35">
      <c r="A21" s="100">
        <v>17</v>
      </c>
      <c r="B21" s="101">
        <v>45996</v>
      </c>
      <c r="C21" s="101">
        <v>45996</v>
      </c>
      <c r="D21" s="102">
        <v>0.33333333333333331</v>
      </c>
      <c r="E21" s="102">
        <v>0.83333333333333337</v>
      </c>
      <c r="F21" s="103">
        <v>401000</v>
      </c>
      <c r="G21" s="103">
        <f t="shared" si="0"/>
        <v>401000</v>
      </c>
      <c r="H21" s="104" t="s">
        <v>12</v>
      </c>
      <c r="I21" s="105">
        <v>987263039441</v>
      </c>
      <c r="J21" s="105">
        <v>925345390936882</v>
      </c>
      <c r="K21" s="108" t="s">
        <v>143</v>
      </c>
      <c r="L21" s="100" t="s">
        <v>27</v>
      </c>
      <c r="M21" s="107" t="s">
        <v>22</v>
      </c>
    </row>
    <row r="22" spans="1:13" x14ac:dyDescent="0.35">
      <c r="A22" s="100">
        <v>18</v>
      </c>
      <c r="B22" s="101">
        <v>45996</v>
      </c>
      <c r="C22" s="101">
        <v>45996</v>
      </c>
      <c r="D22" s="102">
        <v>0.33333333333333331</v>
      </c>
      <c r="E22" s="102">
        <v>0.83333333333333337</v>
      </c>
      <c r="F22" s="103">
        <v>1391000</v>
      </c>
      <c r="G22" s="103">
        <f t="shared" si="0"/>
        <v>1391000</v>
      </c>
      <c r="H22" s="104" t="s">
        <v>12</v>
      </c>
      <c r="I22" s="105">
        <v>987263039441</v>
      </c>
      <c r="J22" s="105">
        <v>925345390936882</v>
      </c>
      <c r="K22" s="108" t="s">
        <v>15</v>
      </c>
      <c r="L22" s="100" t="s">
        <v>27</v>
      </c>
      <c r="M22" s="107" t="s">
        <v>124</v>
      </c>
    </row>
    <row r="23" spans="1:13" x14ac:dyDescent="0.35">
      <c r="A23" s="100">
        <v>19</v>
      </c>
      <c r="B23" s="101">
        <v>45996</v>
      </c>
      <c r="C23" s="101">
        <v>45997</v>
      </c>
      <c r="D23" s="102">
        <v>0.83333333333333337</v>
      </c>
      <c r="E23" s="102">
        <v>0.33333333333333331</v>
      </c>
      <c r="F23" s="103">
        <v>134000</v>
      </c>
      <c r="G23" s="103">
        <f t="shared" si="0"/>
        <v>134000</v>
      </c>
      <c r="H23" s="104" t="s">
        <v>12</v>
      </c>
      <c r="I23" s="105">
        <v>987263039441</v>
      </c>
      <c r="J23" s="105">
        <v>925345390936882</v>
      </c>
      <c r="K23" s="108" t="s">
        <v>19</v>
      </c>
      <c r="L23" s="100" t="s">
        <v>27</v>
      </c>
      <c r="M23" s="107" t="s">
        <v>22</v>
      </c>
    </row>
    <row r="24" spans="1:13" x14ac:dyDescent="0.35">
      <c r="A24" s="100">
        <v>20</v>
      </c>
      <c r="B24" s="101">
        <v>45996</v>
      </c>
      <c r="C24" s="101">
        <v>45997</v>
      </c>
      <c r="D24" s="102">
        <v>0.83333333333333337</v>
      </c>
      <c r="E24" s="102">
        <v>0.33333333333333331</v>
      </c>
      <c r="F24" s="103">
        <v>533000</v>
      </c>
      <c r="G24" s="103">
        <f t="shared" si="0"/>
        <v>533000</v>
      </c>
      <c r="H24" s="104" t="s">
        <v>12</v>
      </c>
      <c r="I24" s="105">
        <v>987263039441</v>
      </c>
      <c r="J24" s="105">
        <v>925345390936882</v>
      </c>
      <c r="K24" s="108" t="s">
        <v>140</v>
      </c>
      <c r="L24" s="100" t="s">
        <v>27</v>
      </c>
      <c r="M24" s="107" t="s">
        <v>124</v>
      </c>
    </row>
    <row r="25" spans="1:13" x14ac:dyDescent="0.35">
      <c r="A25" s="100">
        <v>21</v>
      </c>
      <c r="B25" s="101">
        <v>45997</v>
      </c>
      <c r="C25" s="101">
        <v>45997</v>
      </c>
      <c r="D25" s="102">
        <v>0.33333333333333331</v>
      </c>
      <c r="E25" s="102">
        <v>0.83333333333333337</v>
      </c>
      <c r="F25" s="103">
        <v>338000</v>
      </c>
      <c r="G25" s="103">
        <f t="shared" si="0"/>
        <v>338000</v>
      </c>
      <c r="H25" s="104" t="s">
        <v>12</v>
      </c>
      <c r="I25" s="105">
        <v>987263039457</v>
      </c>
      <c r="J25" s="105">
        <v>925345390938955</v>
      </c>
      <c r="K25" s="108" t="s">
        <v>142</v>
      </c>
      <c r="L25" s="100" t="s">
        <v>27</v>
      </c>
      <c r="M25" s="107" t="s">
        <v>22</v>
      </c>
    </row>
    <row r="26" spans="1:13" x14ac:dyDescent="0.35">
      <c r="A26" s="100">
        <v>22</v>
      </c>
      <c r="B26" s="101">
        <v>45997</v>
      </c>
      <c r="C26" s="101">
        <v>45997</v>
      </c>
      <c r="D26" s="102">
        <v>0.33333333333333331</v>
      </c>
      <c r="E26" s="102">
        <v>0.83333333333333337</v>
      </c>
      <c r="F26" s="103">
        <v>1246000</v>
      </c>
      <c r="G26" s="103">
        <f t="shared" si="0"/>
        <v>1246000</v>
      </c>
      <c r="H26" s="104" t="s">
        <v>12</v>
      </c>
      <c r="I26" s="105">
        <v>987263039457</v>
      </c>
      <c r="J26" s="105">
        <v>925345390938955</v>
      </c>
      <c r="K26" s="108" t="s">
        <v>24</v>
      </c>
      <c r="L26" s="100" t="s">
        <v>27</v>
      </c>
      <c r="M26" s="107" t="s">
        <v>124</v>
      </c>
    </row>
    <row r="27" spans="1:13" x14ac:dyDescent="0.35">
      <c r="A27" s="100">
        <v>23</v>
      </c>
      <c r="B27" s="101">
        <v>45997</v>
      </c>
      <c r="C27" s="101">
        <v>45998</v>
      </c>
      <c r="D27" s="102">
        <v>0.83333333333333337</v>
      </c>
      <c r="E27" s="102">
        <v>0.33333333333333331</v>
      </c>
      <c r="F27" s="103">
        <v>166000</v>
      </c>
      <c r="G27" s="103">
        <f t="shared" si="0"/>
        <v>166000</v>
      </c>
      <c r="H27" s="104" t="s">
        <v>12</v>
      </c>
      <c r="I27" s="105">
        <v>987263039457</v>
      </c>
      <c r="J27" s="105">
        <v>925345390938955</v>
      </c>
      <c r="K27" s="108" t="s">
        <v>143</v>
      </c>
      <c r="L27" s="100" t="s">
        <v>27</v>
      </c>
      <c r="M27" s="107" t="s">
        <v>22</v>
      </c>
    </row>
    <row r="28" spans="1:13" x14ac:dyDescent="0.35">
      <c r="A28" s="100">
        <v>24</v>
      </c>
      <c r="B28" s="101">
        <v>45997</v>
      </c>
      <c r="C28" s="101">
        <v>45998</v>
      </c>
      <c r="D28" s="102">
        <v>0.83333333333333337</v>
      </c>
      <c r="E28" s="102">
        <v>0.33333333333333331</v>
      </c>
      <c r="F28" s="103">
        <v>514000</v>
      </c>
      <c r="G28" s="103">
        <f t="shared" si="0"/>
        <v>514000</v>
      </c>
      <c r="H28" s="104" t="s">
        <v>12</v>
      </c>
      <c r="I28" s="105">
        <v>987263039457</v>
      </c>
      <c r="J28" s="105">
        <v>925345390938955</v>
      </c>
      <c r="K28" s="108" t="s">
        <v>15</v>
      </c>
      <c r="L28" s="100" t="s">
        <v>27</v>
      </c>
      <c r="M28" s="107" t="s">
        <v>124</v>
      </c>
    </row>
    <row r="29" spans="1:13" x14ac:dyDescent="0.35">
      <c r="A29" s="100">
        <v>25</v>
      </c>
      <c r="B29" s="101">
        <v>45998</v>
      </c>
      <c r="C29" s="101">
        <v>45998</v>
      </c>
      <c r="D29" s="102">
        <v>0.33333333333333331</v>
      </c>
      <c r="E29" s="102">
        <v>0.83333333333333337</v>
      </c>
      <c r="F29" s="103">
        <v>504000</v>
      </c>
      <c r="G29" s="103">
        <f t="shared" si="0"/>
        <v>504000</v>
      </c>
      <c r="H29" s="104" t="s">
        <v>12</v>
      </c>
      <c r="I29" s="105">
        <v>9872630339460</v>
      </c>
      <c r="J29" s="105">
        <v>925345390933723</v>
      </c>
      <c r="K29" s="108" t="s">
        <v>142</v>
      </c>
      <c r="L29" s="100" t="s">
        <v>27</v>
      </c>
      <c r="M29" s="107" t="s">
        <v>22</v>
      </c>
    </row>
    <row r="30" spans="1:13" x14ac:dyDescent="0.35">
      <c r="A30" s="100">
        <v>26</v>
      </c>
      <c r="B30" s="101">
        <v>45998</v>
      </c>
      <c r="C30" s="101">
        <v>45998</v>
      </c>
      <c r="D30" s="102">
        <v>0.33333333333333331</v>
      </c>
      <c r="E30" s="102">
        <v>0.83333333333333337</v>
      </c>
      <c r="F30" s="103">
        <v>1418000</v>
      </c>
      <c r="G30" s="103">
        <f t="shared" si="0"/>
        <v>1418000</v>
      </c>
      <c r="H30" s="104" t="s">
        <v>12</v>
      </c>
      <c r="I30" s="105">
        <v>9872630339460</v>
      </c>
      <c r="J30" s="105">
        <v>925345390933723</v>
      </c>
      <c r="K30" s="108" t="s">
        <v>24</v>
      </c>
      <c r="L30" s="100" t="s">
        <v>27</v>
      </c>
      <c r="M30" s="107" t="s">
        <v>124</v>
      </c>
    </row>
    <row r="31" spans="1:13" x14ac:dyDescent="0.35">
      <c r="A31" s="100">
        <v>27</v>
      </c>
      <c r="B31" s="101">
        <v>45998</v>
      </c>
      <c r="C31" s="101">
        <v>45999</v>
      </c>
      <c r="D31" s="102">
        <v>0.83333333333333337</v>
      </c>
      <c r="E31" s="102">
        <v>0.33333333333333331</v>
      </c>
      <c r="F31" s="103">
        <v>301000</v>
      </c>
      <c r="G31" s="103">
        <f t="shared" si="0"/>
        <v>301000</v>
      </c>
      <c r="H31" s="104" t="s">
        <v>12</v>
      </c>
      <c r="I31" s="105">
        <v>9872630339460</v>
      </c>
      <c r="J31" s="105">
        <v>925345390933723</v>
      </c>
      <c r="K31" s="108" t="s">
        <v>143</v>
      </c>
      <c r="L31" s="100" t="s">
        <v>27</v>
      </c>
      <c r="M31" s="107" t="s">
        <v>22</v>
      </c>
    </row>
    <row r="32" spans="1:13" x14ac:dyDescent="0.35">
      <c r="A32" s="100">
        <v>28</v>
      </c>
      <c r="B32" s="101">
        <v>45998</v>
      </c>
      <c r="C32" s="101">
        <v>45999</v>
      </c>
      <c r="D32" s="102">
        <v>0.83333333333333337</v>
      </c>
      <c r="E32" s="102">
        <v>0.33333333333333331</v>
      </c>
      <c r="F32" s="103">
        <v>464000</v>
      </c>
      <c r="G32" s="103">
        <f t="shared" si="0"/>
        <v>464000</v>
      </c>
      <c r="H32" s="104" t="s">
        <v>12</v>
      </c>
      <c r="I32" s="105">
        <v>9872630339460</v>
      </c>
      <c r="J32" s="105">
        <v>925345390933723</v>
      </c>
      <c r="K32" s="108" t="s">
        <v>15</v>
      </c>
      <c r="L32" s="100" t="s">
        <v>27</v>
      </c>
      <c r="M32" s="107" t="s">
        <v>124</v>
      </c>
    </row>
    <row r="33" spans="1:13" x14ac:dyDescent="0.35">
      <c r="A33" s="100">
        <v>29</v>
      </c>
      <c r="B33" s="101">
        <v>45999</v>
      </c>
      <c r="C33" s="101">
        <v>45999</v>
      </c>
      <c r="D33" s="102">
        <v>0.33333333333333331</v>
      </c>
      <c r="E33" s="102">
        <v>0.83333333333333337</v>
      </c>
      <c r="F33" s="103">
        <v>339000</v>
      </c>
      <c r="G33" s="103">
        <f t="shared" si="0"/>
        <v>339000</v>
      </c>
      <c r="H33" s="104" t="s">
        <v>12</v>
      </c>
      <c r="I33" s="105">
        <v>987263055328</v>
      </c>
      <c r="J33" s="105">
        <v>925346391300246</v>
      </c>
      <c r="K33" s="108" t="s">
        <v>19</v>
      </c>
      <c r="L33" s="100" t="s">
        <v>27</v>
      </c>
      <c r="M33" s="107" t="s">
        <v>22</v>
      </c>
    </row>
    <row r="34" spans="1:13" x14ac:dyDescent="0.35">
      <c r="A34" s="100">
        <v>30</v>
      </c>
      <c r="B34" s="101">
        <v>45999</v>
      </c>
      <c r="C34" s="101">
        <v>45999</v>
      </c>
      <c r="D34" s="102">
        <v>0.33333333333333331</v>
      </c>
      <c r="E34" s="102">
        <v>0.83333333333333337</v>
      </c>
      <c r="F34" s="103">
        <v>892000</v>
      </c>
      <c r="G34" s="103">
        <f t="shared" si="0"/>
        <v>892000</v>
      </c>
      <c r="H34" s="104" t="s">
        <v>12</v>
      </c>
      <c r="I34" s="105">
        <v>987263055328</v>
      </c>
      <c r="J34" s="105">
        <v>925346391300246</v>
      </c>
      <c r="K34" s="108" t="s">
        <v>140</v>
      </c>
      <c r="L34" s="100" t="s">
        <v>27</v>
      </c>
      <c r="M34" s="107" t="s">
        <v>124</v>
      </c>
    </row>
    <row r="35" spans="1:13" x14ac:dyDescent="0.35">
      <c r="A35" s="100">
        <v>31</v>
      </c>
      <c r="B35" s="101">
        <v>45999</v>
      </c>
      <c r="C35" s="101">
        <v>46000</v>
      </c>
      <c r="D35" s="102">
        <v>0.83333333333333337</v>
      </c>
      <c r="E35" s="102">
        <v>0.33333333333333331</v>
      </c>
      <c r="F35" s="103">
        <v>131000</v>
      </c>
      <c r="G35" s="103">
        <f t="shared" si="0"/>
        <v>131000</v>
      </c>
      <c r="H35" s="104" t="s">
        <v>12</v>
      </c>
      <c r="I35" s="105">
        <v>987263055328</v>
      </c>
      <c r="J35" s="105">
        <v>925346391300246</v>
      </c>
      <c r="K35" s="108" t="s">
        <v>142</v>
      </c>
      <c r="L35" s="100" t="s">
        <v>27</v>
      </c>
      <c r="M35" s="107" t="s">
        <v>22</v>
      </c>
    </row>
    <row r="36" spans="1:13" x14ac:dyDescent="0.35">
      <c r="A36" s="100">
        <v>32</v>
      </c>
      <c r="B36" s="101">
        <v>45999</v>
      </c>
      <c r="C36" s="101">
        <v>46000</v>
      </c>
      <c r="D36" s="102">
        <v>0.83333333333333337</v>
      </c>
      <c r="E36" s="102">
        <v>0.33333333333333331</v>
      </c>
      <c r="F36" s="103">
        <v>324000</v>
      </c>
      <c r="G36" s="103">
        <f t="shared" si="0"/>
        <v>324000</v>
      </c>
      <c r="H36" s="104" t="s">
        <v>12</v>
      </c>
      <c r="I36" s="105">
        <v>987263055328</v>
      </c>
      <c r="J36" s="105">
        <v>925346391300246</v>
      </c>
      <c r="K36" s="108" t="s">
        <v>24</v>
      </c>
      <c r="L36" s="100" t="s">
        <v>27</v>
      </c>
      <c r="M36" s="107" t="s">
        <v>124</v>
      </c>
    </row>
    <row r="37" spans="1:13" x14ac:dyDescent="0.35">
      <c r="A37" s="100">
        <v>33</v>
      </c>
      <c r="B37" s="101">
        <v>46000</v>
      </c>
      <c r="C37" s="101">
        <v>46000</v>
      </c>
      <c r="D37" s="102">
        <v>0.33333333333333331</v>
      </c>
      <c r="E37" s="102">
        <v>0.83333333333333337</v>
      </c>
      <c r="F37" s="103">
        <v>116000</v>
      </c>
      <c r="G37" s="103">
        <f t="shared" ref="G37:G128" si="1">SUM(F37)</f>
        <v>116000</v>
      </c>
      <c r="H37" s="104" t="s">
        <v>12</v>
      </c>
      <c r="I37" s="105">
        <v>987263055371</v>
      </c>
      <c r="J37" s="105">
        <v>925345390936385</v>
      </c>
      <c r="K37" s="108" t="s">
        <v>19</v>
      </c>
      <c r="L37" s="100" t="s">
        <v>27</v>
      </c>
      <c r="M37" s="107" t="s">
        <v>22</v>
      </c>
    </row>
    <row r="38" spans="1:13" x14ac:dyDescent="0.35">
      <c r="A38" s="100">
        <v>34</v>
      </c>
      <c r="B38" s="101">
        <v>46000</v>
      </c>
      <c r="C38" s="101">
        <v>46000</v>
      </c>
      <c r="D38" s="102">
        <v>0.33333333333333331</v>
      </c>
      <c r="E38" s="102">
        <v>0.83333333333333337</v>
      </c>
      <c r="F38" s="103">
        <v>129000</v>
      </c>
      <c r="G38" s="103">
        <f t="shared" si="1"/>
        <v>129000</v>
      </c>
      <c r="H38" s="104" t="s">
        <v>12</v>
      </c>
      <c r="I38" s="105">
        <v>987263055371</v>
      </c>
      <c r="J38" s="105">
        <v>925345390936385</v>
      </c>
      <c r="K38" s="108" t="s">
        <v>140</v>
      </c>
      <c r="L38" s="100" t="s">
        <v>27</v>
      </c>
      <c r="M38" s="107" t="s">
        <v>124</v>
      </c>
    </row>
    <row r="39" spans="1:13" x14ac:dyDescent="0.35">
      <c r="A39" s="100">
        <v>35</v>
      </c>
      <c r="B39" s="101">
        <v>46000</v>
      </c>
      <c r="C39" s="101">
        <v>46001</v>
      </c>
      <c r="D39" s="102">
        <v>0.83333333333333337</v>
      </c>
      <c r="E39" s="102">
        <v>0.33333333333333331</v>
      </c>
      <c r="F39" s="103">
        <v>9000</v>
      </c>
      <c r="G39" s="103">
        <f t="shared" si="1"/>
        <v>9000</v>
      </c>
      <c r="H39" s="104" t="s">
        <v>12</v>
      </c>
      <c r="I39" s="105">
        <v>987263055371</v>
      </c>
      <c r="J39" s="105">
        <v>925345390936385</v>
      </c>
      <c r="K39" s="108" t="s">
        <v>142</v>
      </c>
      <c r="L39" s="100" t="s">
        <v>27</v>
      </c>
      <c r="M39" s="107" t="s">
        <v>22</v>
      </c>
    </row>
    <row r="40" spans="1:13" x14ac:dyDescent="0.35">
      <c r="A40" s="100">
        <v>36</v>
      </c>
      <c r="B40" s="101">
        <v>46000</v>
      </c>
      <c r="C40" s="101">
        <v>46001</v>
      </c>
      <c r="D40" s="102">
        <v>0.83333333333333337</v>
      </c>
      <c r="E40" s="102">
        <v>0.33333333333333331</v>
      </c>
      <c r="F40" s="103">
        <v>129000</v>
      </c>
      <c r="G40" s="103">
        <f t="shared" si="1"/>
        <v>129000</v>
      </c>
      <c r="H40" s="104" t="s">
        <v>12</v>
      </c>
      <c r="I40" s="105">
        <v>987263055371</v>
      </c>
      <c r="J40" s="105">
        <v>925345390936385</v>
      </c>
      <c r="K40" s="108" t="s">
        <v>24</v>
      </c>
      <c r="L40" s="100" t="s">
        <v>27</v>
      </c>
      <c r="M40" s="107" t="s">
        <v>124</v>
      </c>
    </row>
    <row r="41" spans="1:13" x14ac:dyDescent="0.35">
      <c r="A41" s="100">
        <v>37</v>
      </c>
      <c r="B41" s="101">
        <v>46001</v>
      </c>
      <c r="C41" s="101">
        <v>46001</v>
      </c>
      <c r="D41" s="102">
        <v>0.33333333333333331</v>
      </c>
      <c r="E41" s="102">
        <v>0.83333333333333337</v>
      </c>
      <c r="F41" s="103">
        <v>293000</v>
      </c>
      <c r="G41" s="103">
        <f t="shared" si="1"/>
        <v>293000</v>
      </c>
      <c r="H41" s="104" t="s">
        <v>12</v>
      </c>
      <c r="I41" s="105">
        <v>987263067141</v>
      </c>
      <c r="J41" s="105">
        <v>925346391299990</v>
      </c>
      <c r="K41" s="108" t="s">
        <v>143</v>
      </c>
      <c r="L41" s="100" t="s">
        <v>27</v>
      </c>
      <c r="M41" s="107" t="s">
        <v>22</v>
      </c>
    </row>
    <row r="42" spans="1:13" x14ac:dyDescent="0.35">
      <c r="A42" s="100">
        <v>38</v>
      </c>
      <c r="B42" s="101">
        <v>46001</v>
      </c>
      <c r="C42" s="101">
        <v>46001</v>
      </c>
      <c r="D42" s="102">
        <v>0.33333333333333331</v>
      </c>
      <c r="E42" s="102">
        <v>0.83333333333333337</v>
      </c>
      <c r="F42" s="103">
        <v>884000</v>
      </c>
      <c r="G42" s="103">
        <f t="shared" si="1"/>
        <v>884000</v>
      </c>
      <c r="H42" s="104" t="s">
        <v>12</v>
      </c>
      <c r="I42" s="105">
        <v>987263067141</v>
      </c>
      <c r="J42" s="105">
        <v>925346391299990</v>
      </c>
      <c r="K42" s="108" t="s">
        <v>15</v>
      </c>
      <c r="L42" s="100" t="s">
        <v>27</v>
      </c>
      <c r="M42" s="107" t="s">
        <v>124</v>
      </c>
    </row>
    <row r="43" spans="1:13" x14ac:dyDescent="0.35">
      <c r="A43" s="100">
        <v>39</v>
      </c>
      <c r="B43" s="101">
        <v>46001</v>
      </c>
      <c r="C43" s="101">
        <v>46002</v>
      </c>
      <c r="D43" s="102">
        <v>0.83333333333333337</v>
      </c>
      <c r="E43" s="102">
        <v>0.33333333333333331</v>
      </c>
      <c r="F43" s="103">
        <v>55000</v>
      </c>
      <c r="G43" s="103">
        <f t="shared" si="1"/>
        <v>55000</v>
      </c>
      <c r="H43" s="104" t="s">
        <v>12</v>
      </c>
      <c r="I43" s="105">
        <v>987263067141</v>
      </c>
      <c r="J43" s="105">
        <v>925346391299990</v>
      </c>
      <c r="K43" s="108" t="s">
        <v>19</v>
      </c>
      <c r="L43" s="100" t="s">
        <v>27</v>
      </c>
      <c r="M43" s="107" t="s">
        <v>22</v>
      </c>
    </row>
    <row r="44" spans="1:13" x14ac:dyDescent="0.35">
      <c r="A44" s="100">
        <v>40</v>
      </c>
      <c r="B44" s="101">
        <v>46001</v>
      </c>
      <c r="C44" s="101">
        <v>46002</v>
      </c>
      <c r="D44" s="102">
        <v>0.83333333333333337</v>
      </c>
      <c r="E44" s="102">
        <v>0.33333333333333331</v>
      </c>
      <c r="F44" s="103">
        <v>349000</v>
      </c>
      <c r="G44" s="103">
        <f t="shared" si="1"/>
        <v>349000</v>
      </c>
      <c r="H44" s="104" t="s">
        <v>12</v>
      </c>
      <c r="I44" s="105">
        <v>987263067141</v>
      </c>
      <c r="J44" s="105">
        <v>925346391299990</v>
      </c>
      <c r="K44" s="108" t="s">
        <v>140</v>
      </c>
      <c r="L44" s="100" t="s">
        <v>27</v>
      </c>
      <c r="M44" s="107" t="s">
        <v>124</v>
      </c>
    </row>
    <row r="45" spans="1:13" x14ac:dyDescent="0.35">
      <c r="A45" s="100">
        <v>41</v>
      </c>
      <c r="B45" s="101">
        <v>46002</v>
      </c>
      <c r="C45" s="101">
        <v>46002</v>
      </c>
      <c r="D45" s="102">
        <v>0.33333333333333331</v>
      </c>
      <c r="E45" s="102">
        <v>0.83333333333333337</v>
      </c>
      <c r="F45" s="103">
        <v>225000</v>
      </c>
      <c r="G45" s="103">
        <f t="shared" si="1"/>
        <v>225000</v>
      </c>
      <c r="H45" s="104" t="s">
        <v>12</v>
      </c>
      <c r="I45" s="105">
        <v>987263080640</v>
      </c>
      <c r="J45" s="105">
        <v>925347391546590</v>
      </c>
      <c r="K45" s="108" t="s">
        <v>143</v>
      </c>
      <c r="L45" s="100" t="s">
        <v>27</v>
      </c>
      <c r="M45" s="107" t="s">
        <v>22</v>
      </c>
    </row>
    <row r="46" spans="1:13" x14ac:dyDescent="0.35">
      <c r="A46" s="100">
        <v>42</v>
      </c>
      <c r="B46" s="101">
        <v>46002</v>
      </c>
      <c r="C46" s="101">
        <v>46002</v>
      </c>
      <c r="D46" s="102">
        <v>0.33333333333333331</v>
      </c>
      <c r="E46" s="102">
        <v>0.83333333333333337</v>
      </c>
      <c r="F46" s="103">
        <v>971000</v>
      </c>
      <c r="G46" s="103">
        <f t="shared" si="1"/>
        <v>971000</v>
      </c>
      <c r="H46" s="104" t="s">
        <v>12</v>
      </c>
      <c r="I46" s="105">
        <v>987263080640</v>
      </c>
      <c r="J46" s="105">
        <v>925347391546590</v>
      </c>
      <c r="K46" s="108" t="s">
        <v>15</v>
      </c>
      <c r="L46" s="100" t="s">
        <v>27</v>
      </c>
      <c r="M46" s="107" t="s">
        <v>124</v>
      </c>
    </row>
    <row r="47" spans="1:13" x14ac:dyDescent="0.35">
      <c r="A47" s="100">
        <v>43</v>
      </c>
      <c r="B47" s="101">
        <v>46002</v>
      </c>
      <c r="C47" s="101">
        <v>46003</v>
      </c>
      <c r="D47" s="102">
        <v>0.83333333333333337</v>
      </c>
      <c r="E47" s="102">
        <v>0.33333333333333331</v>
      </c>
      <c r="F47" s="103">
        <v>112000</v>
      </c>
      <c r="G47" s="103">
        <f t="shared" si="1"/>
        <v>112000</v>
      </c>
      <c r="H47" s="104" t="s">
        <v>12</v>
      </c>
      <c r="I47" s="105">
        <v>987263080640</v>
      </c>
      <c r="J47" s="105">
        <v>925347391546590</v>
      </c>
      <c r="K47" s="108" t="s">
        <v>19</v>
      </c>
      <c r="L47" s="100" t="s">
        <v>27</v>
      </c>
      <c r="M47" s="107" t="s">
        <v>22</v>
      </c>
    </row>
    <row r="48" spans="1:13" x14ac:dyDescent="0.35">
      <c r="A48" s="100">
        <v>44</v>
      </c>
      <c r="B48" s="101">
        <v>46002</v>
      </c>
      <c r="C48" s="101">
        <v>46003</v>
      </c>
      <c r="D48" s="102">
        <v>0.83333333333333337</v>
      </c>
      <c r="E48" s="102">
        <v>0.33333333333333331</v>
      </c>
      <c r="F48" s="103">
        <v>414000</v>
      </c>
      <c r="G48" s="103">
        <f t="shared" si="1"/>
        <v>414000</v>
      </c>
      <c r="H48" s="104" t="s">
        <v>12</v>
      </c>
      <c r="I48" s="105">
        <v>987263080640</v>
      </c>
      <c r="J48" s="105">
        <v>925347391546590</v>
      </c>
      <c r="K48" s="108" t="s">
        <v>140</v>
      </c>
      <c r="L48" s="100" t="s">
        <v>27</v>
      </c>
      <c r="M48" s="107" t="s">
        <v>124</v>
      </c>
    </row>
    <row r="49" spans="1:13" x14ac:dyDescent="0.35">
      <c r="A49" s="100">
        <v>45</v>
      </c>
      <c r="B49" s="101">
        <v>46003</v>
      </c>
      <c r="C49" s="101">
        <v>46003</v>
      </c>
      <c r="D49" s="102">
        <v>0.33333333333333331</v>
      </c>
      <c r="E49" s="102">
        <v>0.83333333333333337</v>
      </c>
      <c r="F49" s="103">
        <v>210000</v>
      </c>
      <c r="G49" s="103">
        <f t="shared" si="1"/>
        <v>210000</v>
      </c>
      <c r="H49" s="104" t="s">
        <v>12</v>
      </c>
      <c r="I49" s="105">
        <v>987263105508</v>
      </c>
      <c r="J49" s="105">
        <v>925349391999959</v>
      </c>
      <c r="K49" s="108" t="s">
        <v>142</v>
      </c>
      <c r="L49" s="100" t="s">
        <v>27</v>
      </c>
      <c r="M49" s="107" t="s">
        <v>22</v>
      </c>
    </row>
    <row r="50" spans="1:13" x14ac:dyDescent="0.35">
      <c r="A50" s="100">
        <v>46</v>
      </c>
      <c r="B50" s="101">
        <v>46003</v>
      </c>
      <c r="C50" s="101">
        <v>46003</v>
      </c>
      <c r="D50" s="102">
        <v>0.33333333333333331</v>
      </c>
      <c r="E50" s="102">
        <v>0.83333333333333337</v>
      </c>
      <c r="F50" s="103">
        <v>1161000</v>
      </c>
      <c r="G50" s="103">
        <f t="shared" si="1"/>
        <v>1161000</v>
      </c>
      <c r="H50" s="104" t="s">
        <v>12</v>
      </c>
      <c r="I50" s="105">
        <v>987263105508</v>
      </c>
      <c r="J50" s="105">
        <v>925349391999959</v>
      </c>
      <c r="K50" s="108" t="s">
        <v>24</v>
      </c>
      <c r="L50" s="100" t="s">
        <v>27</v>
      </c>
      <c r="M50" s="107" t="s">
        <v>124</v>
      </c>
    </row>
    <row r="51" spans="1:13" x14ac:dyDescent="0.35">
      <c r="A51" s="100">
        <v>47</v>
      </c>
      <c r="B51" s="101">
        <v>46003</v>
      </c>
      <c r="C51" s="101">
        <v>46004</v>
      </c>
      <c r="D51" s="102">
        <v>0.83333333333333337</v>
      </c>
      <c r="E51" s="102">
        <v>0.33333333333333331</v>
      </c>
      <c r="F51" s="103">
        <v>141000</v>
      </c>
      <c r="G51" s="103">
        <f t="shared" si="1"/>
        <v>141000</v>
      </c>
      <c r="H51" s="104" t="s">
        <v>12</v>
      </c>
      <c r="I51" s="105">
        <v>987263105508</v>
      </c>
      <c r="J51" s="105">
        <v>925349391999959</v>
      </c>
      <c r="K51" s="108" t="s">
        <v>143</v>
      </c>
      <c r="L51" s="100" t="s">
        <v>27</v>
      </c>
      <c r="M51" s="107" t="s">
        <v>22</v>
      </c>
    </row>
    <row r="52" spans="1:13" x14ac:dyDescent="0.35">
      <c r="A52" s="100">
        <v>48</v>
      </c>
      <c r="B52" s="101">
        <v>46003</v>
      </c>
      <c r="C52" s="101">
        <v>46004</v>
      </c>
      <c r="D52" s="102">
        <v>0.83333333333333337</v>
      </c>
      <c r="E52" s="102">
        <v>0.33333333333333331</v>
      </c>
      <c r="F52" s="103">
        <v>550000</v>
      </c>
      <c r="G52" s="103">
        <f t="shared" si="1"/>
        <v>550000</v>
      </c>
      <c r="H52" s="104" t="s">
        <v>12</v>
      </c>
      <c r="I52" s="105">
        <v>987263105508</v>
      </c>
      <c r="J52" s="105">
        <v>925349391999959</v>
      </c>
      <c r="K52" s="108" t="s">
        <v>15</v>
      </c>
      <c r="L52" s="100" t="s">
        <v>27</v>
      </c>
      <c r="M52" s="107" t="s">
        <v>124</v>
      </c>
    </row>
    <row r="53" spans="1:13" x14ac:dyDescent="0.35">
      <c r="A53" s="100">
        <v>49</v>
      </c>
      <c r="B53" s="101">
        <v>46004</v>
      </c>
      <c r="C53" s="101">
        <v>46004</v>
      </c>
      <c r="D53" s="102">
        <v>0.33333333333333331</v>
      </c>
      <c r="E53" s="102">
        <v>0.83333333333333337</v>
      </c>
      <c r="F53" s="103">
        <v>282000</v>
      </c>
      <c r="G53" s="103">
        <f t="shared" si="1"/>
        <v>282000</v>
      </c>
      <c r="H53" s="104" t="s">
        <v>12</v>
      </c>
      <c r="I53" s="105">
        <v>987263105526</v>
      </c>
      <c r="J53" s="105">
        <v>925349391999554</v>
      </c>
      <c r="K53" s="108" t="s">
        <v>142</v>
      </c>
      <c r="L53" s="100" t="s">
        <v>27</v>
      </c>
      <c r="M53" s="107" t="s">
        <v>22</v>
      </c>
    </row>
    <row r="54" spans="1:13" x14ac:dyDescent="0.35">
      <c r="A54" s="100">
        <v>50</v>
      </c>
      <c r="B54" s="101">
        <v>46004</v>
      </c>
      <c r="C54" s="101">
        <v>46004</v>
      </c>
      <c r="D54" s="102">
        <v>0.33333333333333331</v>
      </c>
      <c r="E54" s="102">
        <v>0.83333333333333337</v>
      </c>
      <c r="F54" s="103">
        <v>1230000</v>
      </c>
      <c r="G54" s="103">
        <f t="shared" si="1"/>
        <v>1230000</v>
      </c>
      <c r="H54" s="104" t="s">
        <v>12</v>
      </c>
      <c r="I54" s="105">
        <v>987263105526</v>
      </c>
      <c r="J54" s="105">
        <v>925349391999554</v>
      </c>
      <c r="K54" s="108" t="s">
        <v>24</v>
      </c>
      <c r="L54" s="100" t="s">
        <v>27</v>
      </c>
      <c r="M54" s="107" t="s">
        <v>124</v>
      </c>
    </row>
    <row r="55" spans="1:13" x14ac:dyDescent="0.35">
      <c r="A55" s="100">
        <v>51</v>
      </c>
      <c r="B55" s="101">
        <v>46004</v>
      </c>
      <c r="C55" s="101">
        <v>46005</v>
      </c>
      <c r="D55" s="102">
        <v>0.83333333333333337</v>
      </c>
      <c r="E55" s="102">
        <v>0.33333333333333331</v>
      </c>
      <c r="F55" s="103">
        <v>248000</v>
      </c>
      <c r="G55" s="103">
        <f t="shared" si="1"/>
        <v>248000</v>
      </c>
      <c r="H55" s="104" t="s">
        <v>12</v>
      </c>
      <c r="I55" s="105">
        <v>987263105526</v>
      </c>
      <c r="J55" s="105">
        <v>925349391999554</v>
      </c>
      <c r="K55" s="108" t="s">
        <v>143</v>
      </c>
      <c r="L55" s="100" t="s">
        <v>27</v>
      </c>
      <c r="M55" s="107" t="s">
        <v>22</v>
      </c>
    </row>
    <row r="56" spans="1:13" x14ac:dyDescent="0.35">
      <c r="A56" s="100">
        <v>52</v>
      </c>
      <c r="B56" s="101">
        <v>46004</v>
      </c>
      <c r="C56" s="101">
        <v>46005</v>
      </c>
      <c r="D56" s="102">
        <v>0.83333333333333337</v>
      </c>
      <c r="E56" s="102">
        <v>0.33333333333333331</v>
      </c>
      <c r="F56" s="103">
        <v>623000</v>
      </c>
      <c r="G56" s="103">
        <f t="shared" si="1"/>
        <v>623000</v>
      </c>
      <c r="H56" s="104" t="s">
        <v>12</v>
      </c>
      <c r="I56" s="105">
        <v>987263105526</v>
      </c>
      <c r="J56" s="105">
        <v>925349391999554</v>
      </c>
      <c r="K56" s="108" t="s">
        <v>15</v>
      </c>
      <c r="L56" s="100" t="s">
        <v>27</v>
      </c>
      <c r="M56" s="107" t="s">
        <v>124</v>
      </c>
    </row>
    <row r="57" spans="1:13" x14ac:dyDescent="0.35">
      <c r="A57" s="100">
        <v>53</v>
      </c>
      <c r="B57" s="101">
        <v>46005</v>
      </c>
      <c r="C57" s="101">
        <v>46005</v>
      </c>
      <c r="D57" s="102">
        <v>0.33333333333333331</v>
      </c>
      <c r="E57" s="102">
        <v>0.83333333333333337</v>
      </c>
      <c r="F57" s="103">
        <v>396000</v>
      </c>
      <c r="G57" s="103">
        <f t="shared" si="1"/>
        <v>396000</v>
      </c>
      <c r="H57" s="104" t="s">
        <v>12</v>
      </c>
      <c r="I57" s="105">
        <v>987263105537</v>
      </c>
      <c r="J57" s="105">
        <v>925350392233650</v>
      </c>
      <c r="K57" s="108" t="s">
        <v>19</v>
      </c>
      <c r="L57" s="100" t="s">
        <v>27</v>
      </c>
      <c r="M57" s="107" t="s">
        <v>22</v>
      </c>
    </row>
    <row r="58" spans="1:13" x14ac:dyDescent="0.35">
      <c r="A58" s="100">
        <v>54</v>
      </c>
      <c r="B58" s="101">
        <v>46005</v>
      </c>
      <c r="C58" s="101">
        <v>46005</v>
      </c>
      <c r="D58" s="102">
        <v>0.33333333333333331</v>
      </c>
      <c r="E58" s="102">
        <v>0.83333333333333337</v>
      </c>
      <c r="F58" s="103">
        <v>1567000</v>
      </c>
      <c r="G58" s="103">
        <f t="shared" si="1"/>
        <v>1567000</v>
      </c>
      <c r="H58" s="104" t="s">
        <v>12</v>
      </c>
      <c r="I58" s="105">
        <v>987263105537</v>
      </c>
      <c r="J58" s="105">
        <v>925350392233650</v>
      </c>
      <c r="K58" s="108" t="s">
        <v>140</v>
      </c>
      <c r="L58" s="100" t="s">
        <v>27</v>
      </c>
      <c r="M58" s="107" t="s">
        <v>124</v>
      </c>
    </row>
    <row r="59" spans="1:13" x14ac:dyDescent="0.35">
      <c r="A59" s="100">
        <v>55</v>
      </c>
      <c r="B59" s="101">
        <v>46005</v>
      </c>
      <c r="C59" s="101">
        <v>46006</v>
      </c>
      <c r="D59" s="102">
        <v>0.83333333333333337</v>
      </c>
      <c r="E59" s="102">
        <v>0.33333333333333331</v>
      </c>
      <c r="F59" s="103">
        <v>272000</v>
      </c>
      <c r="G59" s="103">
        <f t="shared" si="1"/>
        <v>272000</v>
      </c>
      <c r="H59" s="104" t="s">
        <v>12</v>
      </c>
      <c r="I59" s="105">
        <v>987263105537</v>
      </c>
      <c r="J59" s="105">
        <v>925350392233650</v>
      </c>
      <c r="K59" s="108" t="s">
        <v>142</v>
      </c>
      <c r="L59" s="100" t="s">
        <v>27</v>
      </c>
      <c r="M59" s="107" t="s">
        <v>22</v>
      </c>
    </row>
    <row r="60" spans="1:13" x14ac:dyDescent="0.35">
      <c r="A60" s="100">
        <v>56</v>
      </c>
      <c r="B60" s="101">
        <v>46005</v>
      </c>
      <c r="C60" s="101">
        <v>46006</v>
      </c>
      <c r="D60" s="102">
        <v>0.83333333333333337</v>
      </c>
      <c r="E60" s="102">
        <v>0.33333333333333331</v>
      </c>
      <c r="F60" s="103">
        <v>573000</v>
      </c>
      <c r="G60" s="103">
        <f t="shared" si="1"/>
        <v>573000</v>
      </c>
      <c r="H60" s="104" t="s">
        <v>12</v>
      </c>
      <c r="I60" s="105">
        <v>987263105537</v>
      </c>
      <c r="J60" s="105">
        <v>925350392233650</v>
      </c>
      <c r="K60" s="108" t="s">
        <v>24</v>
      </c>
      <c r="L60" s="100" t="s">
        <v>27</v>
      </c>
      <c r="M60" s="107" t="s">
        <v>124</v>
      </c>
    </row>
    <row r="61" spans="1:13" x14ac:dyDescent="0.35">
      <c r="A61" s="100">
        <v>57</v>
      </c>
      <c r="B61" s="101">
        <v>46006</v>
      </c>
      <c r="C61" s="101">
        <v>46006</v>
      </c>
      <c r="D61" s="102">
        <v>0.33333333333333331</v>
      </c>
      <c r="E61" s="102">
        <v>0.83333333333333337</v>
      </c>
      <c r="F61" s="103">
        <v>237000</v>
      </c>
      <c r="G61" s="103">
        <f t="shared" si="1"/>
        <v>237000</v>
      </c>
      <c r="H61" s="104" t="s">
        <v>12</v>
      </c>
      <c r="I61" s="105">
        <v>987263117396</v>
      </c>
      <c r="J61" s="105">
        <v>925351392640952</v>
      </c>
      <c r="K61" s="108" t="s">
        <v>19</v>
      </c>
      <c r="L61" s="100" t="s">
        <v>27</v>
      </c>
      <c r="M61" s="107" t="s">
        <v>22</v>
      </c>
    </row>
    <row r="62" spans="1:13" x14ac:dyDescent="0.35">
      <c r="A62" s="100">
        <v>58</v>
      </c>
      <c r="B62" s="101">
        <v>46006</v>
      </c>
      <c r="C62" s="101">
        <v>46006</v>
      </c>
      <c r="D62" s="102">
        <v>0.33333333333333331</v>
      </c>
      <c r="E62" s="102">
        <v>0.83333333333333337</v>
      </c>
      <c r="F62" s="103">
        <v>1428000</v>
      </c>
      <c r="G62" s="103">
        <f t="shared" si="1"/>
        <v>1428000</v>
      </c>
      <c r="H62" s="104" t="s">
        <v>12</v>
      </c>
      <c r="I62" s="105">
        <v>987263117396</v>
      </c>
      <c r="J62" s="105">
        <v>925351392640952</v>
      </c>
      <c r="K62" s="108" t="s">
        <v>140</v>
      </c>
      <c r="L62" s="100" t="s">
        <v>27</v>
      </c>
      <c r="M62" s="107" t="s">
        <v>124</v>
      </c>
    </row>
    <row r="63" spans="1:13" x14ac:dyDescent="0.35">
      <c r="A63" s="100">
        <v>59</v>
      </c>
      <c r="B63" s="101">
        <v>46006</v>
      </c>
      <c r="C63" s="101">
        <v>46007</v>
      </c>
      <c r="D63" s="102">
        <v>0.83333333333333337</v>
      </c>
      <c r="E63" s="102">
        <v>0.33333333333333331</v>
      </c>
      <c r="F63" s="103">
        <v>324000</v>
      </c>
      <c r="G63" s="103">
        <f t="shared" si="1"/>
        <v>324000</v>
      </c>
      <c r="H63" s="104" t="s">
        <v>12</v>
      </c>
      <c r="I63" s="105">
        <v>987263117396</v>
      </c>
      <c r="J63" s="105">
        <v>925351392640952</v>
      </c>
      <c r="K63" s="108" t="s">
        <v>142</v>
      </c>
      <c r="L63" s="100" t="s">
        <v>27</v>
      </c>
      <c r="M63" s="107" t="s">
        <v>22</v>
      </c>
    </row>
    <row r="64" spans="1:13" x14ac:dyDescent="0.35">
      <c r="A64" s="100">
        <v>60</v>
      </c>
      <c r="B64" s="101">
        <v>46006</v>
      </c>
      <c r="C64" s="101">
        <v>46007</v>
      </c>
      <c r="D64" s="102">
        <v>0.83333333333333337</v>
      </c>
      <c r="E64" s="102">
        <v>0.33333333333333331</v>
      </c>
      <c r="F64" s="103">
        <v>441000</v>
      </c>
      <c r="G64" s="103">
        <f t="shared" si="1"/>
        <v>441000</v>
      </c>
      <c r="H64" s="104" t="s">
        <v>12</v>
      </c>
      <c r="I64" s="105">
        <v>987263117396</v>
      </c>
      <c r="J64" s="105">
        <v>925351392640952</v>
      </c>
      <c r="K64" s="108" t="s">
        <v>15</v>
      </c>
      <c r="L64" s="100" t="s">
        <v>27</v>
      </c>
      <c r="M64" s="107" t="s">
        <v>124</v>
      </c>
    </row>
    <row r="65" spans="1:13" x14ac:dyDescent="0.35">
      <c r="A65" s="100">
        <v>61</v>
      </c>
      <c r="B65" s="101">
        <v>46007</v>
      </c>
      <c r="C65" s="101">
        <v>46007</v>
      </c>
      <c r="D65" s="102">
        <v>0.33333333333333331</v>
      </c>
      <c r="E65" s="102">
        <v>0.83333333333333337</v>
      </c>
      <c r="F65" s="103">
        <v>391000</v>
      </c>
      <c r="G65" s="103">
        <f t="shared" si="1"/>
        <v>391000</v>
      </c>
      <c r="H65" s="104" t="s">
        <v>12</v>
      </c>
      <c r="I65" s="105">
        <v>987263133552</v>
      </c>
      <c r="J65" s="105">
        <v>925352392888194</v>
      </c>
      <c r="K65" s="108" t="s">
        <v>143</v>
      </c>
      <c r="L65" s="100" t="s">
        <v>27</v>
      </c>
      <c r="M65" s="107" t="s">
        <v>124</v>
      </c>
    </row>
    <row r="66" spans="1:13" x14ac:dyDescent="0.35">
      <c r="A66" s="100">
        <v>62</v>
      </c>
      <c r="B66" s="101">
        <v>46007</v>
      </c>
      <c r="C66" s="101">
        <v>46007</v>
      </c>
      <c r="D66" s="102">
        <v>0.33333333333333331</v>
      </c>
      <c r="E66" s="102">
        <v>0.83333333333333337</v>
      </c>
      <c r="F66" s="103">
        <v>1169000</v>
      </c>
      <c r="G66" s="103">
        <f t="shared" si="1"/>
        <v>1169000</v>
      </c>
      <c r="H66" s="104" t="s">
        <v>12</v>
      </c>
      <c r="I66" s="105">
        <v>987263133552</v>
      </c>
      <c r="J66" s="105">
        <v>925352392888194</v>
      </c>
      <c r="K66" s="108" t="s">
        <v>15</v>
      </c>
      <c r="L66" s="100" t="s">
        <v>27</v>
      </c>
      <c r="M66" s="107" t="s">
        <v>22</v>
      </c>
    </row>
    <row r="67" spans="1:13" x14ac:dyDescent="0.35">
      <c r="A67" s="100">
        <v>63</v>
      </c>
      <c r="B67" s="101">
        <v>46007</v>
      </c>
      <c r="C67" s="101">
        <v>46008</v>
      </c>
      <c r="D67" s="102">
        <v>0.83333333333333337</v>
      </c>
      <c r="E67" s="102">
        <v>0.33333333333333331</v>
      </c>
      <c r="F67" s="103">
        <v>90000</v>
      </c>
      <c r="G67" s="103">
        <f t="shared" si="1"/>
        <v>90000</v>
      </c>
      <c r="H67" s="104" t="s">
        <v>12</v>
      </c>
      <c r="I67" s="105">
        <v>987263133552</v>
      </c>
      <c r="J67" s="105">
        <v>925352392888194</v>
      </c>
      <c r="K67" s="108" t="s">
        <v>19</v>
      </c>
      <c r="L67" s="100" t="s">
        <v>27</v>
      </c>
      <c r="M67" s="107" t="s">
        <v>22</v>
      </c>
    </row>
    <row r="68" spans="1:13" x14ac:dyDescent="0.35">
      <c r="A68" s="100">
        <v>64</v>
      </c>
      <c r="B68" s="101">
        <v>46007</v>
      </c>
      <c r="C68" s="101">
        <v>46008</v>
      </c>
      <c r="D68" s="102">
        <v>0.83333333333333337</v>
      </c>
      <c r="E68" s="102">
        <v>0.33333333333333331</v>
      </c>
      <c r="F68" s="103">
        <v>469000</v>
      </c>
      <c r="G68" s="103">
        <f t="shared" si="1"/>
        <v>469000</v>
      </c>
      <c r="H68" s="104" t="s">
        <v>12</v>
      </c>
      <c r="I68" s="105">
        <v>987263133552</v>
      </c>
      <c r="J68" s="105">
        <v>925352392888194</v>
      </c>
      <c r="K68" s="108" t="s">
        <v>140</v>
      </c>
      <c r="L68" s="100" t="s">
        <v>27</v>
      </c>
      <c r="M68" s="107" t="s">
        <v>124</v>
      </c>
    </row>
    <row r="69" spans="1:13" x14ac:dyDescent="0.35">
      <c r="A69" s="100">
        <v>65</v>
      </c>
      <c r="B69" s="101">
        <v>46008</v>
      </c>
      <c r="C69" s="101">
        <v>46008</v>
      </c>
      <c r="D69" s="102">
        <v>0.33333333333333331</v>
      </c>
      <c r="E69" s="102">
        <v>0.83333333333333337</v>
      </c>
      <c r="F69" s="103">
        <v>285000</v>
      </c>
      <c r="G69" s="103">
        <f t="shared" si="1"/>
        <v>285000</v>
      </c>
      <c r="H69" s="104" t="s">
        <v>12</v>
      </c>
      <c r="I69" s="105">
        <v>987263185017</v>
      </c>
      <c r="J69" s="105" t="s">
        <v>45</v>
      </c>
      <c r="K69" s="108" t="s">
        <v>143</v>
      </c>
      <c r="L69" s="100" t="s">
        <v>27</v>
      </c>
      <c r="M69" s="107" t="s">
        <v>22</v>
      </c>
    </row>
    <row r="70" spans="1:13" x14ac:dyDescent="0.35">
      <c r="A70" s="100">
        <v>66</v>
      </c>
      <c r="B70" s="101">
        <v>46008</v>
      </c>
      <c r="C70" s="101">
        <v>46008</v>
      </c>
      <c r="D70" s="102">
        <v>0.33333333333333331</v>
      </c>
      <c r="E70" s="102">
        <v>0.83333333333333337</v>
      </c>
      <c r="F70" s="103">
        <v>1287000</v>
      </c>
      <c r="G70" s="103">
        <f t="shared" si="1"/>
        <v>1287000</v>
      </c>
      <c r="H70" s="104" t="s">
        <v>12</v>
      </c>
      <c r="I70" s="105">
        <v>987263185017</v>
      </c>
      <c r="J70" s="105" t="s">
        <v>45</v>
      </c>
      <c r="K70" s="108" t="s">
        <v>15</v>
      </c>
      <c r="L70" s="100" t="s">
        <v>27</v>
      </c>
      <c r="M70" s="107" t="s">
        <v>124</v>
      </c>
    </row>
    <row r="71" spans="1:13" x14ac:dyDescent="0.35">
      <c r="A71" s="100">
        <v>67</v>
      </c>
      <c r="B71" s="101">
        <v>46008</v>
      </c>
      <c r="C71" s="101">
        <v>46009</v>
      </c>
      <c r="D71" s="102">
        <v>0.83333333333333337</v>
      </c>
      <c r="E71" s="102">
        <v>0.33333333333333331</v>
      </c>
      <c r="F71" s="103">
        <v>189000</v>
      </c>
      <c r="G71" s="103">
        <f t="shared" si="1"/>
        <v>189000</v>
      </c>
      <c r="H71" s="104" t="s">
        <v>12</v>
      </c>
      <c r="I71" s="105">
        <v>987263185017</v>
      </c>
      <c r="J71" s="105" t="s">
        <v>45</v>
      </c>
      <c r="K71" s="108" t="s">
        <v>19</v>
      </c>
      <c r="L71" s="100" t="s">
        <v>27</v>
      </c>
      <c r="M71" s="107" t="s">
        <v>22</v>
      </c>
    </row>
    <row r="72" spans="1:13" x14ac:dyDescent="0.35">
      <c r="A72" s="100">
        <v>68</v>
      </c>
      <c r="B72" s="101">
        <v>46008</v>
      </c>
      <c r="C72" s="101">
        <v>46009</v>
      </c>
      <c r="D72" s="102">
        <v>0.83333333333333337</v>
      </c>
      <c r="E72" s="102">
        <v>0.33333333333333331</v>
      </c>
      <c r="F72" s="103">
        <v>589000</v>
      </c>
      <c r="G72" s="103">
        <f t="shared" si="1"/>
        <v>589000</v>
      </c>
      <c r="H72" s="104" t="s">
        <v>12</v>
      </c>
      <c r="I72" s="105">
        <v>987263185017</v>
      </c>
      <c r="J72" s="105" t="s">
        <v>45</v>
      </c>
      <c r="K72" s="108" t="s">
        <v>140</v>
      </c>
      <c r="L72" s="100" t="s">
        <v>27</v>
      </c>
      <c r="M72" s="107" t="s">
        <v>124</v>
      </c>
    </row>
    <row r="73" spans="1:13" x14ac:dyDescent="0.35">
      <c r="A73" s="100">
        <v>69</v>
      </c>
      <c r="B73" s="101">
        <v>46009</v>
      </c>
      <c r="C73" s="101">
        <v>46009</v>
      </c>
      <c r="D73" s="102">
        <v>0.33333333333333331</v>
      </c>
      <c r="E73" s="102">
        <v>0.83333333333333337</v>
      </c>
      <c r="F73" s="103">
        <v>313000</v>
      </c>
      <c r="G73" s="103">
        <f t="shared" si="1"/>
        <v>313000</v>
      </c>
      <c r="H73" s="104" t="s">
        <v>12</v>
      </c>
      <c r="I73" s="105">
        <v>987263185022</v>
      </c>
      <c r="J73" s="105" t="s">
        <v>45</v>
      </c>
      <c r="K73" s="108" t="s">
        <v>142</v>
      </c>
      <c r="L73" s="100" t="s">
        <v>27</v>
      </c>
      <c r="M73" s="107" t="s">
        <v>22</v>
      </c>
    </row>
    <row r="74" spans="1:13" x14ac:dyDescent="0.35">
      <c r="A74" s="100">
        <v>70</v>
      </c>
      <c r="B74" s="101">
        <v>46009</v>
      </c>
      <c r="C74" s="101">
        <v>46009</v>
      </c>
      <c r="D74" s="102">
        <v>0.33333333333333331</v>
      </c>
      <c r="E74" s="102">
        <v>0.83333333333333337</v>
      </c>
      <c r="F74" s="103">
        <v>1142000</v>
      </c>
      <c r="G74" s="103">
        <f t="shared" si="1"/>
        <v>1142000</v>
      </c>
      <c r="H74" s="104" t="s">
        <v>12</v>
      </c>
      <c r="I74" s="105">
        <v>987263185022</v>
      </c>
      <c r="J74" s="105" t="s">
        <v>45</v>
      </c>
      <c r="K74" s="108" t="s">
        <v>24</v>
      </c>
      <c r="L74" s="100" t="s">
        <v>27</v>
      </c>
      <c r="M74" s="107" t="s">
        <v>124</v>
      </c>
    </row>
    <row r="75" spans="1:13" x14ac:dyDescent="0.35">
      <c r="A75" s="100">
        <v>71</v>
      </c>
      <c r="B75" s="101">
        <v>46009</v>
      </c>
      <c r="C75" s="101">
        <v>46010</v>
      </c>
      <c r="D75" s="102">
        <v>0.83333333333333337</v>
      </c>
      <c r="E75" s="102">
        <v>0.33333333333333331</v>
      </c>
      <c r="F75" s="103">
        <v>219000</v>
      </c>
      <c r="G75" s="103">
        <f t="shared" si="1"/>
        <v>219000</v>
      </c>
      <c r="H75" s="104" t="s">
        <v>12</v>
      </c>
      <c r="I75" s="105">
        <v>987263185022</v>
      </c>
      <c r="J75" s="105" t="s">
        <v>45</v>
      </c>
      <c r="K75" s="108" t="s">
        <v>143</v>
      </c>
      <c r="L75" s="100" t="s">
        <v>27</v>
      </c>
      <c r="M75" s="107" t="s">
        <v>22</v>
      </c>
    </row>
    <row r="76" spans="1:13" x14ac:dyDescent="0.35">
      <c r="A76" s="100">
        <v>72</v>
      </c>
      <c r="B76" s="101">
        <v>46009</v>
      </c>
      <c r="C76" s="101">
        <v>46010</v>
      </c>
      <c r="D76" s="102">
        <v>0.83333333333333337</v>
      </c>
      <c r="E76" s="102">
        <v>0.33333333333333331</v>
      </c>
      <c r="F76" s="103">
        <v>608000</v>
      </c>
      <c r="G76" s="103">
        <f t="shared" si="1"/>
        <v>608000</v>
      </c>
      <c r="H76" s="104" t="s">
        <v>12</v>
      </c>
      <c r="I76" s="105">
        <v>987263185022</v>
      </c>
      <c r="J76" s="105" t="s">
        <v>45</v>
      </c>
      <c r="K76" s="108" t="s">
        <v>15</v>
      </c>
      <c r="L76" s="100" t="s">
        <v>27</v>
      </c>
      <c r="M76" s="107" t="s">
        <v>124</v>
      </c>
    </row>
    <row r="77" spans="1:13" x14ac:dyDescent="0.35">
      <c r="A77" s="100">
        <v>73</v>
      </c>
      <c r="B77" s="101">
        <v>46010</v>
      </c>
      <c r="C77" s="101">
        <v>46010</v>
      </c>
      <c r="D77" s="102">
        <v>0.33333333333333331</v>
      </c>
      <c r="E77" s="102">
        <v>0.83333333333333337</v>
      </c>
      <c r="F77" s="103">
        <v>242000</v>
      </c>
      <c r="G77" s="103">
        <f t="shared" si="1"/>
        <v>242000</v>
      </c>
      <c r="H77" s="104" t="s">
        <v>12</v>
      </c>
      <c r="I77" s="105">
        <v>987263177963</v>
      </c>
      <c r="J77" s="105">
        <v>925357394314079</v>
      </c>
      <c r="K77" s="108" t="s">
        <v>142</v>
      </c>
      <c r="L77" s="100" t="s">
        <v>27</v>
      </c>
      <c r="M77" s="107" t="s">
        <v>22</v>
      </c>
    </row>
    <row r="78" spans="1:13" x14ac:dyDescent="0.35">
      <c r="A78" s="100">
        <v>74</v>
      </c>
      <c r="B78" s="101">
        <v>46010</v>
      </c>
      <c r="C78" s="101">
        <v>46010</v>
      </c>
      <c r="D78" s="102">
        <v>0.33333333333333331</v>
      </c>
      <c r="E78" s="102">
        <v>0.83333333333333337</v>
      </c>
      <c r="F78" s="103">
        <v>1275000</v>
      </c>
      <c r="G78" s="103">
        <f t="shared" si="1"/>
        <v>1275000</v>
      </c>
      <c r="H78" s="104" t="s">
        <v>12</v>
      </c>
      <c r="I78" s="105">
        <v>987263177963</v>
      </c>
      <c r="J78" s="105">
        <v>925357394314079</v>
      </c>
      <c r="K78" s="108" t="s">
        <v>24</v>
      </c>
      <c r="L78" s="100" t="s">
        <v>27</v>
      </c>
      <c r="M78" s="107" t="s">
        <v>124</v>
      </c>
    </row>
    <row r="79" spans="1:13" x14ac:dyDescent="0.35">
      <c r="A79" s="100">
        <v>75</v>
      </c>
      <c r="B79" s="101">
        <v>46010</v>
      </c>
      <c r="C79" s="101">
        <v>46011</v>
      </c>
      <c r="D79" s="102">
        <v>0.83333333333333337</v>
      </c>
      <c r="E79" s="102">
        <v>0.33333333333333331</v>
      </c>
      <c r="F79" s="103">
        <v>116000</v>
      </c>
      <c r="G79" s="103">
        <f t="shared" si="1"/>
        <v>116000</v>
      </c>
      <c r="H79" s="104" t="s">
        <v>12</v>
      </c>
      <c r="I79" s="105">
        <v>987263177963</v>
      </c>
      <c r="J79" s="105">
        <v>925357394314079</v>
      </c>
      <c r="K79" s="108" t="s">
        <v>143</v>
      </c>
      <c r="L79" s="100" t="s">
        <v>27</v>
      </c>
      <c r="M79" s="107" t="s">
        <v>22</v>
      </c>
    </row>
    <row r="80" spans="1:13" x14ac:dyDescent="0.35">
      <c r="A80" s="100">
        <v>76</v>
      </c>
      <c r="B80" s="101">
        <v>46010</v>
      </c>
      <c r="C80" s="101">
        <v>46011</v>
      </c>
      <c r="D80" s="102">
        <v>0.83333333333333337</v>
      </c>
      <c r="E80" s="102">
        <v>0.33333333333333331</v>
      </c>
      <c r="F80" s="103">
        <v>514000</v>
      </c>
      <c r="G80" s="103">
        <f t="shared" si="1"/>
        <v>514000</v>
      </c>
      <c r="H80" s="104" t="s">
        <v>12</v>
      </c>
      <c r="I80" s="105">
        <v>987263177963</v>
      </c>
      <c r="J80" s="105">
        <v>925357394314079</v>
      </c>
      <c r="K80" s="108" t="s">
        <v>15</v>
      </c>
      <c r="L80" s="100" t="s">
        <v>27</v>
      </c>
      <c r="M80" s="107" t="s">
        <v>124</v>
      </c>
    </row>
    <row r="81" spans="1:13" x14ac:dyDescent="0.35">
      <c r="A81" s="100">
        <v>77</v>
      </c>
      <c r="B81" s="101">
        <v>46011</v>
      </c>
      <c r="C81" s="101">
        <v>46011</v>
      </c>
      <c r="D81" s="102">
        <v>0.33333333333333331</v>
      </c>
      <c r="E81" s="102">
        <v>0.83333333333333337</v>
      </c>
      <c r="F81" s="103">
        <v>458000</v>
      </c>
      <c r="G81" s="103">
        <f t="shared" si="1"/>
        <v>458000</v>
      </c>
      <c r="H81" s="104" t="s">
        <v>12</v>
      </c>
      <c r="I81" s="105">
        <v>987263177970</v>
      </c>
      <c r="J81" s="105">
        <v>925357394314212</v>
      </c>
      <c r="K81" s="108" t="s">
        <v>19</v>
      </c>
      <c r="L81" s="100" t="s">
        <v>27</v>
      </c>
      <c r="M81" s="107" t="s">
        <v>22</v>
      </c>
    </row>
    <row r="82" spans="1:13" x14ac:dyDescent="0.35">
      <c r="A82" s="100">
        <v>78</v>
      </c>
      <c r="B82" s="101">
        <v>46011</v>
      </c>
      <c r="C82" s="101">
        <v>46011</v>
      </c>
      <c r="D82" s="102">
        <v>0.33333333333333331</v>
      </c>
      <c r="E82" s="102">
        <v>0.83333333333333337</v>
      </c>
      <c r="F82" s="103">
        <v>1294000</v>
      </c>
      <c r="G82" s="103">
        <f t="shared" si="1"/>
        <v>1294000</v>
      </c>
      <c r="H82" s="104" t="s">
        <v>12</v>
      </c>
      <c r="I82" s="105">
        <v>987263177970</v>
      </c>
      <c r="J82" s="105">
        <v>925357394314212</v>
      </c>
      <c r="K82" s="108" t="s">
        <v>140</v>
      </c>
      <c r="L82" s="100" t="s">
        <v>27</v>
      </c>
      <c r="M82" s="107" t="s">
        <v>124</v>
      </c>
    </row>
    <row r="83" spans="1:13" x14ac:dyDescent="0.35">
      <c r="A83" s="100">
        <v>79</v>
      </c>
      <c r="B83" s="101">
        <v>46011</v>
      </c>
      <c r="C83" s="101">
        <v>46012</v>
      </c>
      <c r="D83" s="102">
        <v>0.83333333333333337</v>
      </c>
      <c r="E83" s="102">
        <v>0.33333333333333331</v>
      </c>
      <c r="F83" s="103">
        <v>146000</v>
      </c>
      <c r="G83" s="103">
        <f t="shared" si="1"/>
        <v>146000</v>
      </c>
      <c r="H83" s="104" t="s">
        <v>12</v>
      </c>
      <c r="I83" s="105">
        <v>987263177970</v>
      </c>
      <c r="J83" s="105">
        <v>925357394314212</v>
      </c>
      <c r="K83" s="108" t="s">
        <v>142</v>
      </c>
      <c r="L83" s="100" t="s">
        <v>27</v>
      </c>
      <c r="M83" s="107" t="s">
        <v>22</v>
      </c>
    </row>
    <row r="84" spans="1:13" x14ac:dyDescent="0.35">
      <c r="A84" s="100">
        <v>80</v>
      </c>
      <c r="B84" s="101">
        <v>46011</v>
      </c>
      <c r="C84" s="101">
        <v>46012</v>
      </c>
      <c r="D84" s="102">
        <v>0.83333333333333337</v>
      </c>
      <c r="E84" s="102">
        <v>0.33333333333333331</v>
      </c>
      <c r="F84" s="103">
        <v>472000</v>
      </c>
      <c r="G84" s="103">
        <f t="shared" si="1"/>
        <v>472000</v>
      </c>
      <c r="H84" s="104" t="s">
        <v>12</v>
      </c>
      <c r="I84" s="105">
        <v>987263177970</v>
      </c>
      <c r="J84" s="105">
        <v>925357394314212</v>
      </c>
      <c r="K84" s="108" t="s">
        <v>24</v>
      </c>
      <c r="L84" s="100" t="s">
        <v>27</v>
      </c>
      <c r="M84" s="107" t="s">
        <v>124</v>
      </c>
    </row>
    <row r="85" spans="1:13" x14ac:dyDescent="0.35">
      <c r="A85" s="100">
        <v>81</v>
      </c>
      <c r="B85" s="101">
        <v>46012</v>
      </c>
      <c r="C85" s="101">
        <v>46012</v>
      </c>
      <c r="D85" s="102">
        <v>0.33333333333333331</v>
      </c>
      <c r="E85" s="102">
        <v>0.83333333333333337</v>
      </c>
      <c r="F85" s="103">
        <v>491000</v>
      </c>
      <c r="G85" s="103">
        <f t="shared" si="1"/>
        <v>491000</v>
      </c>
      <c r="H85" s="104" t="s">
        <v>12</v>
      </c>
      <c r="I85" s="105">
        <v>987263177975</v>
      </c>
      <c r="J85" s="105">
        <v>925357394313938</v>
      </c>
      <c r="K85" s="108" t="s">
        <v>19</v>
      </c>
      <c r="L85" s="100" t="s">
        <v>27</v>
      </c>
      <c r="M85" s="107" t="s">
        <v>22</v>
      </c>
    </row>
    <row r="86" spans="1:13" x14ac:dyDescent="0.35">
      <c r="A86" s="100">
        <v>82</v>
      </c>
      <c r="B86" s="101">
        <v>46012</v>
      </c>
      <c r="C86" s="101">
        <v>46012</v>
      </c>
      <c r="D86" s="102">
        <v>0.33333333333333331</v>
      </c>
      <c r="E86" s="102">
        <v>0.83333333333333337</v>
      </c>
      <c r="F86" s="103">
        <v>1373000</v>
      </c>
      <c r="G86" s="103">
        <f t="shared" si="1"/>
        <v>1373000</v>
      </c>
      <c r="H86" s="104" t="s">
        <v>12</v>
      </c>
      <c r="I86" s="105">
        <v>987263177975</v>
      </c>
      <c r="J86" s="105">
        <v>925357394313938</v>
      </c>
      <c r="K86" s="108" t="s">
        <v>140</v>
      </c>
      <c r="L86" s="100" t="s">
        <v>27</v>
      </c>
      <c r="M86" s="107" t="s">
        <v>124</v>
      </c>
    </row>
    <row r="87" spans="1:13" x14ac:dyDescent="0.35">
      <c r="A87" s="100">
        <v>83</v>
      </c>
      <c r="B87" s="101">
        <v>46012</v>
      </c>
      <c r="C87" s="101">
        <v>46013</v>
      </c>
      <c r="D87" s="102">
        <v>0.83333333333333337</v>
      </c>
      <c r="E87" s="102">
        <v>0.33333333333333331</v>
      </c>
      <c r="F87" s="103">
        <v>433000</v>
      </c>
      <c r="G87" s="103">
        <f t="shared" si="1"/>
        <v>433000</v>
      </c>
      <c r="H87" s="104" t="s">
        <v>12</v>
      </c>
      <c r="I87" s="105">
        <v>987263177975</v>
      </c>
      <c r="J87" s="105">
        <v>925357394313938</v>
      </c>
      <c r="K87" s="108" t="s">
        <v>142</v>
      </c>
      <c r="L87" s="100" t="s">
        <v>27</v>
      </c>
      <c r="M87" s="107" t="s">
        <v>22</v>
      </c>
    </row>
    <row r="88" spans="1:13" x14ac:dyDescent="0.35">
      <c r="A88" s="100">
        <v>84</v>
      </c>
      <c r="B88" s="101">
        <v>46012</v>
      </c>
      <c r="C88" s="101">
        <v>46013</v>
      </c>
      <c r="D88" s="102">
        <v>0.83333333333333337</v>
      </c>
      <c r="E88" s="102">
        <v>0.33333333333333331</v>
      </c>
      <c r="F88" s="103">
        <v>717000</v>
      </c>
      <c r="G88" s="103">
        <f t="shared" si="1"/>
        <v>717000</v>
      </c>
      <c r="H88" s="104" t="s">
        <v>12</v>
      </c>
      <c r="I88" s="105">
        <v>987263177975</v>
      </c>
      <c r="J88" s="105">
        <v>925357394313938</v>
      </c>
      <c r="K88" s="108" t="s">
        <v>24</v>
      </c>
      <c r="L88" s="100" t="s">
        <v>27</v>
      </c>
      <c r="M88" s="107" t="s">
        <v>124</v>
      </c>
    </row>
    <row r="89" spans="1:13" x14ac:dyDescent="0.35">
      <c r="A89" s="100">
        <v>85</v>
      </c>
      <c r="B89" s="101">
        <v>46013</v>
      </c>
      <c r="C89" s="101">
        <v>46013</v>
      </c>
      <c r="D89" s="102">
        <v>0.33333333333333331</v>
      </c>
      <c r="E89" s="102">
        <v>0.83333333333333337</v>
      </c>
      <c r="F89" s="103">
        <v>373000</v>
      </c>
      <c r="G89" s="103">
        <f t="shared" si="1"/>
        <v>373000</v>
      </c>
      <c r="H89" s="104" t="s">
        <v>12</v>
      </c>
      <c r="I89" s="105">
        <v>987263185040</v>
      </c>
      <c r="J89" s="105">
        <v>925358394684392</v>
      </c>
      <c r="K89" s="108" t="s">
        <v>143</v>
      </c>
      <c r="L89" s="100" t="s">
        <v>27</v>
      </c>
      <c r="M89" s="107" t="s">
        <v>22</v>
      </c>
    </row>
    <row r="90" spans="1:13" x14ac:dyDescent="0.35">
      <c r="A90" s="100">
        <v>86</v>
      </c>
      <c r="B90" s="101">
        <v>46013</v>
      </c>
      <c r="C90" s="101">
        <v>46013</v>
      </c>
      <c r="D90" s="102">
        <v>0.33333333333333331</v>
      </c>
      <c r="E90" s="102">
        <v>0.83333333333333337</v>
      </c>
      <c r="F90" s="103">
        <v>1482000</v>
      </c>
      <c r="G90" s="103">
        <f t="shared" si="1"/>
        <v>1482000</v>
      </c>
      <c r="H90" s="104" t="s">
        <v>12</v>
      </c>
      <c r="I90" s="105">
        <v>987263185040</v>
      </c>
      <c r="J90" s="105">
        <v>925358394684392</v>
      </c>
      <c r="K90" s="108" t="s">
        <v>15</v>
      </c>
      <c r="L90" s="100" t="s">
        <v>27</v>
      </c>
      <c r="M90" s="107" t="s">
        <v>124</v>
      </c>
    </row>
    <row r="91" spans="1:13" x14ac:dyDescent="0.35">
      <c r="A91" s="100">
        <v>87</v>
      </c>
      <c r="B91" s="101">
        <v>46013</v>
      </c>
      <c r="C91" s="101">
        <v>46014</v>
      </c>
      <c r="D91" s="102">
        <v>0.83333333333333337</v>
      </c>
      <c r="E91" s="102">
        <v>0.33333333333333331</v>
      </c>
      <c r="F91" s="103">
        <v>268000</v>
      </c>
      <c r="G91" s="103">
        <f t="shared" si="1"/>
        <v>268000</v>
      </c>
      <c r="H91" s="104" t="s">
        <v>12</v>
      </c>
      <c r="I91" s="105">
        <v>987263185040</v>
      </c>
      <c r="J91" s="105">
        <v>925358394684392</v>
      </c>
      <c r="K91" s="108" t="s">
        <v>19</v>
      </c>
      <c r="L91" s="100" t="s">
        <v>27</v>
      </c>
      <c r="M91" s="107" t="s">
        <v>22</v>
      </c>
    </row>
    <row r="92" spans="1:13" x14ac:dyDescent="0.35">
      <c r="A92" s="100">
        <v>88</v>
      </c>
      <c r="B92" s="101">
        <v>46013</v>
      </c>
      <c r="C92" s="101">
        <v>46014</v>
      </c>
      <c r="D92" s="102">
        <v>0.83333333333333337</v>
      </c>
      <c r="E92" s="102">
        <v>0.33333333333333331</v>
      </c>
      <c r="F92" s="103">
        <v>508000</v>
      </c>
      <c r="G92" s="103">
        <f t="shared" si="1"/>
        <v>508000</v>
      </c>
      <c r="H92" s="104" t="s">
        <v>12</v>
      </c>
      <c r="I92" s="105">
        <v>987263185040</v>
      </c>
      <c r="J92" s="105">
        <v>925358394684392</v>
      </c>
      <c r="K92" s="108" t="s">
        <v>140</v>
      </c>
      <c r="L92" s="100" t="s">
        <v>27</v>
      </c>
      <c r="M92" s="107" t="s">
        <v>124</v>
      </c>
    </row>
    <row r="93" spans="1:13" x14ac:dyDescent="0.35">
      <c r="A93" s="100">
        <v>89</v>
      </c>
      <c r="B93" s="101">
        <v>46014</v>
      </c>
      <c r="C93" s="101">
        <v>46014</v>
      </c>
      <c r="D93" s="102">
        <v>0.33333333333333331</v>
      </c>
      <c r="E93" s="102">
        <v>0.83333333333333337</v>
      </c>
      <c r="F93" s="103">
        <v>230000</v>
      </c>
      <c r="G93" s="103">
        <f t="shared" si="1"/>
        <v>230000</v>
      </c>
      <c r="H93" s="104" t="s">
        <v>12</v>
      </c>
      <c r="I93" s="105">
        <v>987263268544</v>
      </c>
      <c r="J93" s="105">
        <v>926006398219183</v>
      </c>
      <c r="K93" s="108" t="s">
        <v>143</v>
      </c>
      <c r="L93" s="100" t="s">
        <v>27</v>
      </c>
      <c r="M93" s="107" t="s">
        <v>22</v>
      </c>
    </row>
    <row r="94" spans="1:13" x14ac:dyDescent="0.35">
      <c r="A94" s="100">
        <v>90</v>
      </c>
      <c r="B94" s="101">
        <v>46014</v>
      </c>
      <c r="C94" s="101">
        <v>46014</v>
      </c>
      <c r="D94" s="102">
        <v>0.33333333333333331</v>
      </c>
      <c r="E94" s="102">
        <v>0.83333333333333337</v>
      </c>
      <c r="F94" s="103">
        <v>1421000</v>
      </c>
      <c r="G94" s="103">
        <f t="shared" si="1"/>
        <v>1421000</v>
      </c>
      <c r="H94" s="104" t="s">
        <v>12</v>
      </c>
      <c r="I94" s="105">
        <v>987263268544</v>
      </c>
      <c r="J94" s="105">
        <v>926006398219183</v>
      </c>
      <c r="K94" s="108" t="s">
        <v>15</v>
      </c>
      <c r="L94" s="100" t="s">
        <v>27</v>
      </c>
      <c r="M94" s="107" t="s">
        <v>124</v>
      </c>
    </row>
    <row r="95" spans="1:13" x14ac:dyDescent="0.35">
      <c r="A95" s="100">
        <v>91</v>
      </c>
      <c r="B95" s="101">
        <v>46014</v>
      </c>
      <c r="C95" s="101">
        <v>46015</v>
      </c>
      <c r="D95" s="102">
        <v>0.83333333333333337</v>
      </c>
      <c r="E95" s="102">
        <v>0.33333333333333331</v>
      </c>
      <c r="F95" s="103">
        <v>140000</v>
      </c>
      <c r="G95" s="103">
        <f t="shared" si="1"/>
        <v>140000</v>
      </c>
      <c r="H95" s="104" t="s">
        <v>12</v>
      </c>
      <c r="I95" s="105">
        <v>987263268544</v>
      </c>
      <c r="J95" s="105">
        <v>926006398219183</v>
      </c>
      <c r="K95" s="108" t="s">
        <v>143</v>
      </c>
      <c r="L95" s="100" t="s">
        <v>27</v>
      </c>
      <c r="M95" s="107" t="s">
        <v>22</v>
      </c>
    </row>
    <row r="96" spans="1:13" x14ac:dyDescent="0.35">
      <c r="A96" s="100">
        <v>92</v>
      </c>
      <c r="B96" s="101">
        <v>46014</v>
      </c>
      <c r="C96" s="101">
        <v>46015</v>
      </c>
      <c r="D96" s="102">
        <v>0.83333333333333337</v>
      </c>
      <c r="E96" s="102">
        <v>0.33333333333333331</v>
      </c>
      <c r="F96" s="103">
        <v>570000</v>
      </c>
      <c r="G96" s="103">
        <f t="shared" si="1"/>
        <v>570000</v>
      </c>
      <c r="H96" s="104" t="s">
        <v>12</v>
      </c>
      <c r="I96" s="105">
        <v>987263268544</v>
      </c>
      <c r="J96" s="105">
        <v>926006398219183</v>
      </c>
      <c r="K96" s="108" t="s">
        <v>15</v>
      </c>
      <c r="L96" s="100" t="s">
        <v>27</v>
      </c>
      <c r="M96" s="107" t="s">
        <v>124</v>
      </c>
    </row>
    <row r="97" spans="1:13" x14ac:dyDescent="0.35">
      <c r="A97" s="100">
        <v>93</v>
      </c>
      <c r="B97" s="101">
        <v>46015</v>
      </c>
      <c r="C97" s="101">
        <v>46015</v>
      </c>
      <c r="D97" s="102">
        <v>0.33333333333333331</v>
      </c>
      <c r="E97" s="102">
        <v>0.83333333333333337</v>
      </c>
      <c r="F97" s="103">
        <v>585000</v>
      </c>
      <c r="G97" s="103">
        <f t="shared" si="1"/>
        <v>585000</v>
      </c>
      <c r="H97" s="104" t="s">
        <v>12</v>
      </c>
      <c r="I97" s="105">
        <v>987263242948</v>
      </c>
      <c r="J97" s="105">
        <v>926002397054643</v>
      </c>
      <c r="K97" s="108" t="s">
        <v>142</v>
      </c>
      <c r="L97" s="100" t="s">
        <v>27</v>
      </c>
      <c r="M97" s="107" t="s">
        <v>22</v>
      </c>
    </row>
    <row r="98" spans="1:13" x14ac:dyDescent="0.35">
      <c r="A98" s="100">
        <v>94</v>
      </c>
      <c r="B98" s="101">
        <v>46015</v>
      </c>
      <c r="C98" s="101">
        <v>46015</v>
      </c>
      <c r="D98" s="102">
        <v>0.33333333333333331</v>
      </c>
      <c r="E98" s="102">
        <v>0.83333333333333337</v>
      </c>
      <c r="F98" s="103">
        <v>1629000</v>
      </c>
      <c r="G98" s="103">
        <f t="shared" si="1"/>
        <v>1629000</v>
      </c>
      <c r="H98" s="104" t="s">
        <v>12</v>
      </c>
      <c r="I98" s="105">
        <v>987263242948</v>
      </c>
      <c r="J98" s="105">
        <v>926002397054643</v>
      </c>
      <c r="K98" s="108" t="s">
        <v>24</v>
      </c>
      <c r="L98" s="100" t="s">
        <v>27</v>
      </c>
      <c r="M98" s="107" t="s">
        <v>124</v>
      </c>
    </row>
    <row r="99" spans="1:13" x14ac:dyDescent="0.35">
      <c r="A99" s="100">
        <v>95</v>
      </c>
      <c r="B99" s="101">
        <v>46015</v>
      </c>
      <c r="C99" s="101">
        <v>46016</v>
      </c>
      <c r="D99" s="102">
        <v>0.83333333333333337</v>
      </c>
      <c r="E99" s="102">
        <v>0.33333333333333331</v>
      </c>
      <c r="F99" s="103">
        <v>159000</v>
      </c>
      <c r="G99" s="103">
        <f t="shared" si="1"/>
        <v>159000</v>
      </c>
      <c r="H99" s="104" t="s">
        <v>12</v>
      </c>
      <c r="I99" s="105">
        <v>987263242948</v>
      </c>
      <c r="J99" s="105">
        <v>926002397054643</v>
      </c>
      <c r="K99" s="108" t="s">
        <v>143</v>
      </c>
      <c r="L99" s="100" t="s">
        <v>27</v>
      </c>
      <c r="M99" s="107" t="s">
        <v>22</v>
      </c>
    </row>
    <row r="100" spans="1:13" x14ac:dyDescent="0.35">
      <c r="A100" s="100">
        <v>96</v>
      </c>
      <c r="B100" s="101">
        <v>46015</v>
      </c>
      <c r="C100" s="101">
        <v>46016</v>
      </c>
      <c r="D100" s="102">
        <v>0.83333333333333337</v>
      </c>
      <c r="E100" s="102">
        <v>0.33333333333333331</v>
      </c>
      <c r="F100" s="103">
        <v>319000</v>
      </c>
      <c r="G100" s="103">
        <f t="shared" si="1"/>
        <v>319000</v>
      </c>
      <c r="H100" s="104" t="s">
        <v>12</v>
      </c>
      <c r="I100" s="105">
        <v>987263242948</v>
      </c>
      <c r="J100" s="105">
        <v>926002397054643</v>
      </c>
      <c r="K100" s="108" t="s">
        <v>15</v>
      </c>
      <c r="L100" s="100" t="s">
        <v>27</v>
      </c>
      <c r="M100" s="107" t="s">
        <v>124</v>
      </c>
    </row>
    <row r="101" spans="1:13" x14ac:dyDescent="0.35">
      <c r="A101" s="100">
        <v>97</v>
      </c>
      <c r="B101" s="101">
        <v>46016</v>
      </c>
      <c r="C101" s="101">
        <v>46016</v>
      </c>
      <c r="D101" s="102">
        <v>0.33333333333333331</v>
      </c>
      <c r="E101" s="102">
        <v>0.83333333333333337</v>
      </c>
      <c r="F101" s="103">
        <v>124000</v>
      </c>
      <c r="G101" s="103">
        <f t="shared" si="1"/>
        <v>124000</v>
      </c>
      <c r="H101" s="104" t="s">
        <v>12</v>
      </c>
      <c r="I101" s="105">
        <v>987263242957</v>
      </c>
      <c r="J101" s="105">
        <v>926002397053339</v>
      </c>
      <c r="K101" s="108" t="s">
        <v>142</v>
      </c>
      <c r="L101" s="100" t="s">
        <v>27</v>
      </c>
      <c r="M101" s="107" t="s">
        <v>22</v>
      </c>
    </row>
    <row r="102" spans="1:13" x14ac:dyDescent="0.35">
      <c r="A102" s="100">
        <v>98</v>
      </c>
      <c r="B102" s="101">
        <v>46016</v>
      </c>
      <c r="C102" s="101">
        <v>46016</v>
      </c>
      <c r="D102" s="102">
        <v>0.33333333333333331</v>
      </c>
      <c r="E102" s="102">
        <v>0.83333333333333337</v>
      </c>
      <c r="F102" s="103">
        <v>704000</v>
      </c>
      <c r="G102" s="103">
        <f t="shared" si="1"/>
        <v>704000</v>
      </c>
      <c r="H102" s="104" t="s">
        <v>12</v>
      </c>
      <c r="I102" s="105">
        <v>987263242957</v>
      </c>
      <c r="J102" s="105">
        <v>926002397053339</v>
      </c>
      <c r="K102" s="108" t="s">
        <v>24</v>
      </c>
      <c r="L102" s="100" t="s">
        <v>27</v>
      </c>
      <c r="M102" s="107" t="s">
        <v>124</v>
      </c>
    </row>
    <row r="103" spans="1:13" x14ac:dyDescent="0.35">
      <c r="A103" s="100">
        <v>99</v>
      </c>
      <c r="B103" s="101">
        <v>46016</v>
      </c>
      <c r="C103" s="101">
        <v>46017</v>
      </c>
      <c r="D103" s="102">
        <v>0.83333333333333337</v>
      </c>
      <c r="E103" s="102">
        <v>0.33333333333333331</v>
      </c>
      <c r="F103" s="103">
        <v>66000</v>
      </c>
      <c r="G103" s="103">
        <f t="shared" si="1"/>
        <v>66000</v>
      </c>
      <c r="H103" s="104" t="s">
        <v>12</v>
      </c>
      <c r="I103" s="105">
        <v>987263242957</v>
      </c>
      <c r="J103" s="105">
        <v>926002397053339</v>
      </c>
      <c r="K103" s="108" t="s">
        <v>143</v>
      </c>
      <c r="L103" s="100" t="s">
        <v>27</v>
      </c>
      <c r="M103" s="107" t="s">
        <v>22</v>
      </c>
    </row>
    <row r="104" spans="1:13" x14ac:dyDescent="0.35">
      <c r="A104" s="100">
        <v>100</v>
      </c>
      <c r="B104" s="101">
        <v>46016</v>
      </c>
      <c r="C104" s="101">
        <v>46017</v>
      </c>
      <c r="D104" s="102">
        <v>0.83333333333333337</v>
      </c>
      <c r="E104" s="102">
        <v>0.33333333333333331</v>
      </c>
      <c r="F104" s="103">
        <v>349000</v>
      </c>
      <c r="G104" s="103">
        <f t="shared" si="1"/>
        <v>349000</v>
      </c>
      <c r="H104" s="104" t="s">
        <v>12</v>
      </c>
      <c r="I104" s="105">
        <v>987263242957</v>
      </c>
      <c r="J104" s="105">
        <v>926002397053339</v>
      </c>
      <c r="K104" s="108" t="s">
        <v>15</v>
      </c>
      <c r="L104" s="100" t="s">
        <v>27</v>
      </c>
      <c r="M104" s="107" t="s">
        <v>46</v>
      </c>
    </row>
    <row r="105" spans="1:13" x14ac:dyDescent="0.35">
      <c r="A105" s="100">
        <v>101</v>
      </c>
      <c r="B105" s="101">
        <v>46017</v>
      </c>
      <c r="C105" s="101">
        <v>46017</v>
      </c>
      <c r="D105" s="102">
        <v>0.33333333333333331</v>
      </c>
      <c r="E105" s="102">
        <v>0.83333333333333337</v>
      </c>
      <c r="F105" s="103">
        <v>393000</v>
      </c>
      <c r="G105" s="103">
        <f t="shared" si="1"/>
        <v>393000</v>
      </c>
      <c r="H105" s="104" t="s">
        <v>12</v>
      </c>
      <c r="I105" s="105">
        <v>987263242963</v>
      </c>
      <c r="J105" s="105">
        <v>926002397055926</v>
      </c>
      <c r="K105" s="108" t="s">
        <v>19</v>
      </c>
      <c r="L105" s="100" t="s">
        <v>27</v>
      </c>
      <c r="M105" s="107" t="s">
        <v>22</v>
      </c>
    </row>
    <row r="106" spans="1:13" x14ac:dyDescent="0.35">
      <c r="A106" s="100">
        <v>102</v>
      </c>
      <c r="B106" s="101">
        <v>46017</v>
      </c>
      <c r="C106" s="101">
        <v>46017</v>
      </c>
      <c r="D106" s="102">
        <v>0.33333333333333331</v>
      </c>
      <c r="E106" s="102">
        <v>0.83333333333333337</v>
      </c>
      <c r="F106" s="103">
        <v>914000</v>
      </c>
      <c r="G106" s="103">
        <f t="shared" si="1"/>
        <v>914000</v>
      </c>
      <c r="H106" s="104" t="s">
        <v>12</v>
      </c>
      <c r="I106" s="105">
        <v>987263242963</v>
      </c>
      <c r="J106" s="105">
        <v>926002397055926</v>
      </c>
      <c r="K106" s="108" t="s">
        <v>140</v>
      </c>
      <c r="L106" s="100" t="s">
        <v>27</v>
      </c>
      <c r="M106" s="107" t="s">
        <v>124</v>
      </c>
    </row>
    <row r="107" spans="1:13" x14ac:dyDescent="0.35">
      <c r="A107" s="100">
        <v>103</v>
      </c>
      <c r="B107" s="101">
        <v>46017</v>
      </c>
      <c r="C107" s="101">
        <v>46018</v>
      </c>
      <c r="D107" s="102">
        <v>0.83333333333333337</v>
      </c>
      <c r="E107" s="102">
        <v>0.33333333333333331</v>
      </c>
      <c r="F107" s="103">
        <v>249000</v>
      </c>
      <c r="G107" s="103">
        <f t="shared" si="1"/>
        <v>249000</v>
      </c>
      <c r="H107" s="104" t="s">
        <v>12</v>
      </c>
      <c r="I107" s="105">
        <v>987263242963</v>
      </c>
      <c r="J107" s="105">
        <v>926002397055926</v>
      </c>
      <c r="K107" s="108" t="s">
        <v>142</v>
      </c>
      <c r="L107" s="100" t="s">
        <v>27</v>
      </c>
      <c r="M107" s="107" t="s">
        <v>22</v>
      </c>
    </row>
    <row r="108" spans="1:13" x14ac:dyDescent="0.35">
      <c r="A108" s="100">
        <v>104</v>
      </c>
      <c r="B108" s="101">
        <v>46017</v>
      </c>
      <c r="C108" s="101">
        <v>46018</v>
      </c>
      <c r="D108" s="102">
        <v>0.83333333333333337</v>
      </c>
      <c r="E108" s="102">
        <v>0.33333333333333331</v>
      </c>
      <c r="F108" s="103">
        <v>499000</v>
      </c>
      <c r="G108" s="103">
        <f t="shared" si="1"/>
        <v>499000</v>
      </c>
      <c r="H108" s="104" t="s">
        <v>12</v>
      </c>
      <c r="I108" s="105">
        <v>987263242963</v>
      </c>
      <c r="J108" s="105">
        <v>926002397055926</v>
      </c>
      <c r="K108" s="108" t="s">
        <v>24</v>
      </c>
      <c r="L108" s="100" t="s">
        <v>27</v>
      </c>
      <c r="M108" s="107" t="s">
        <v>124</v>
      </c>
    </row>
    <row r="109" spans="1:13" x14ac:dyDescent="0.35">
      <c r="A109" s="100">
        <v>105</v>
      </c>
      <c r="B109" s="101">
        <v>46018</v>
      </c>
      <c r="C109" s="101">
        <v>46018</v>
      </c>
      <c r="D109" s="102">
        <v>0.33333333333333331</v>
      </c>
      <c r="E109" s="102">
        <v>0.83333333333333337</v>
      </c>
      <c r="F109" s="103">
        <v>234000</v>
      </c>
      <c r="G109" s="103">
        <f t="shared" si="1"/>
        <v>234000</v>
      </c>
      <c r="H109" s="104" t="s">
        <v>12</v>
      </c>
      <c r="I109" s="105">
        <v>987263242971</v>
      </c>
      <c r="J109" s="105">
        <v>926002397057435</v>
      </c>
      <c r="K109" s="108" t="s">
        <v>19</v>
      </c>
      <c r="L109" s="100" t="s">
        <v>27</v>
      </c>
      <c r="M109" s="107" t="s">
        <v>22</v>
      </c>
    </row>
    <row r="110" spans="1:13" x14ac:dyDescent="0.35">
      <c r="A110" s="100">
        <v>106</v>
      </c>
      <c r="B110" s="101">
        <v>46018</v>
      </c>
      <c r="C110" s="101">
        <v>46018</v>
      </c>
      <c r="D110" s="102">
        <v>0.33333333333333331</v>
      </c>
      <c r="E110" s="102">
        <v>0.83333333333333337</v>
      </c>
      <c r="F110" s="103">
        <v>1219000</v>
      </c>
      <c r="G110" s="103">
        <f t="shared" si="1"/>
        <v>1219000</v>
      </c>
      <c r="H110" s="104" t="s">
        <v>12</v>
      </c>
      <c r="I110" s="105">
        <v>987263242971</v>
      </c>
      <c r="J110" s="105">
        <v>926002397057435</v>
      </c>
      <c r="K110" s="108" t="s">
        <v>140</v>
      </c>
      <c r="L110" s="100" t="s">
        <v>27</v>
      </c>
      <c r="M110" s="107" t="s">
        <v>144</v>
      </c>
    </row>
    <row r="111" spans="1:13" x14ac:dyDescent="0.35">
      <c r="A111" s="100">
        <v>107</v>
      </c>
      <c r="B111" s="101">
        <v>46018</v>
      </c>
      <c r="C111" s="101">
        <v>46019</v>
      </c>
      <c r="D111" s="102">
        <v>0.83333333333333337</v>
      </c>
      <c r="E111" s="102">
        <v>0.33333333333333331</v>
      </c>
      <c r="F111" s="103">
        <v>402000</v>
      </c>
      <c r="G111" s="103">
        <f t="shared" si="1"/>
        <v>402000</v>
      </c>
      <c r="H111" s="104" t="s">
        <v>12</v>
      </c>
      <c r="I111" s="105">
        <v>987263242971</v>
      </c>
      <c r="J111" s="105">
        <v>926002397057435</v>
      </c>
      <c r="K111" s="108" t="s">
        <v>142</v>
      </c>
      <c r="L111" s="100" t="s">
        <v>27</v>
      </c>
      <c r="M111" s="107" t="s">
        <v>22</v>
      </c>
    </row>
    <row r="112" spans="1:13" x14ac:dyDescent="0.35">
      <c r="A112" s="100">
        <v>108</v>
      </c>
      <c r="B112" s="101">
        <v>46018</v>
      </c>
      <c r="C112" s="101">
        <v>46019</v>
      </c>
      <c r="D112" s="102">
        <v>0.83333333333333337</v>
      </c>
      <c r="E112" s="102">
        <v>0.33333333333333331</v>
      </c>
      <c r="F112" s="103">
        <v>655000</v>
      </c>
      <c r="G112" s="103">
        <f t="shared" si="1"/>
        <v>655000</v>
      </c>
      <c r="H112" s="104" t="s">
        <v>12</v>
      </c>
      <c r="I112" s="105">
        <v>987263242971</v>
      </c>
      <c r="J112" s="105">
        <v>926002397057435</v>
      </c>
      <c r="K112" s="108" t="s">
        <v>24</v>
      </c>
      <c r="L112" s="100" t="s">
        <v>27</v>
      </c>
      <c r="M112" s="107" t="s">
        <v>124</v>
      </c>
    </row>
    <row r="113" spans="1:13" x14ac:dyDescent="0.35">
      <c r="A113" s="100">
        <v>109</v>
      </c>
      <c r="B113" s="101">
        <v>46019</v>
      </c>
      <c r="C113" s="101">
        <v>46019</v>
      </c>
      <c r="D113" s="102">
        <v>0.33333333333333331</v>
      </c>
      <c r="E113" s="102">
        <v>0.83333333333333337</v>
      </c>
      <c r="F113" s="103">
        <v>260000</v>
      </c>
      <c r="G113" s="103">
        <f t="shared" si="1"/>
        <v>260000</v>
      </c>
      <c r="H113" s="104" t="s">
        <v>12</v>
      </c>
      <c r="I113" s="105">
        <v>987263242987</v>
      </c>
      <c r="J113" s="105">
        <v>926002397059015</v>
      </c>
      <c r="K113" s="108" t="s">
        <v>143</v>
      </c>
      <c r="L113" s="100" t="s">
        <v>27</v>
      </c>
      <c r="M113" s="107" t="s">
        <v>22</v>
      </c>
    </row>
    <row r="114" spans="1:13" x14ac:dyDescent="0.35">
      <c r="A114" s="100">
        <v>110</v>
      </c>
      <c r="B114" s="101">
        <v>46019</v>
      </c>
      <c r="C114" s="101">
        <v>46019</v>
      </c>
      <c r="D114" s="102">
        <v>0.33333333333333331</v>
      </c>
      <c r="E114" s="102">
        <v>0.83333333333333337</v>
      </c>
      <c r="F114" s="103">
        <v>1117000</v>
      </c>
      <c r="G114" s="103">
        <f t="shared" si="1"/>
        <v>1117000</v>
      </c>
      <c r="H114" s="104" t="s">
        <v>12</v>
      </c>
      <c r="I114" s="105">
        <v>987263242987</v>
      </c>
      <c r="J114" s="105">
        <v>926002397059015</v>
      </c>
      <c r="K114" s="108" t="s">
        <v>15</v>
      </c>
      <c r="L114" s="100" t="s">
        <v>27</v>
      </c>
      <c r="M114" s="107" t="s">
        <v>124</v>
      </c>
    </row>
    <row r="115" spans="1:13" x14ac:dyDescent="0.35">
      <c r="A115" s="100">
        <v>111</v>
      </c>
      <c r="B115" s="101">
        <v>46019</v>
      </c>
      <c r="C115" s="101">
        <v>46020</v>
      </c>
      <c r="D115" s="102">
        <v>0.83333333333333337</v>
      </c>
      <c r="E115" s="102">
        <v>0.33333333333333331</v>
      </c>
      <c r="F115" s="103">
        <v>210000</v>
      </c>
      <c r="G115" s="103">
        <f t="shared" si="1"/>
        <v>210000</v>
      </c>
      <c r="H115" s="104" t="s">
        <v>12</v>
      </c>
      <c r="I115" s="105">
        <v>987263242987</v>
      </c>
      <c r="J115" s="105">
        <v>926002397059015</v>
      </c>
      <c r="K115" s="108" t="s">
        <v>19</v>
      </c>
      <c r="L115" s="100" t="s">
        <v>27</v>
      </c>
      <c r="M115" s="107" t="s">
        <v>22</v>
      </c>
    </row>
    <row r="116" spans="1:13" x14ac:dyDescent="0.35">
      <c r="A116" s="100">
        <v>112</v>
      </c>
      <c r="B116" s="101">
        <v>46019</v>
      </c>
      <c r="C116" s="101">
        <v>46020</v>
      </c>
      <c r="D116" s="102">
        <v>0.83333333333333337</v>
      </c>
      <c r="E116" s="102">
        <v>0.33333333333333331</v>
      </c>
      <c r="F116" s="103">
        <v>1051000</v>
      </c>
      <c r="G116" s="103">
        <f t="shared" si="1"/>
        <v>1051000</v>
      </c>
      <c r="H116" s="104" t="s">
        <v>12</v>
      </c>
      <c r="I116" s="105">
        <v>987263242987</v>
      </c>
      <c r="J116" s="105">
        <v>926002397059015</v>
      </c>
      <c r="K116" s="108" t="s">
        <v>140</v>
      </c>
      <c r="L116" s="100" t="s">
        <v>27</v>
      </c>
      <c r="M116" s="107" t="s">
        <v>124</v>
      </c>
    </row>
    <row r="117" spans="1:13" x14ac:dyDescent="0.35">
      <c r="A117" s="100">
        <v>113</v>
      </c>
      <c r="B117" s="101">
        <v>46020</v>
      </c>
      <c r="C117" s="101">
        <v>46020</v>
      </c>
      <c r="D117" s="102">
        <v>0.33333333333333331</v>
      </c>
      <c r="E117" s="102">
        <v>0.83333333333333337</v>
      </c>
      <c r="F117" s="103">
        <v>402000</v>
      </c>
      <c r="G117" s="103">
        <f t="shared" si="1"/>
        <v>402000</v>
      </c>
      <c r="H117" s="104" t="s">
        <v>12</v>
      </c>
      <c r="I117" s="105" t="s">
        <v>146</v>
      </c>
      <c r="J117" s="105" t="s">
        <v>27</v>
      </c>
      <c r="K117" s="108" t="s">
        <v>143</v>
      </c>
      <c r="L117" s="100" t="s">
        <v>27</v>
      </c>
      <c r="M117" s="107" t="s">
        <v>22</v>
      </c>
    </row>
    <row r="118" spans="1:13" x14ac:dyDescent="0.35">
      <c r="A118" s="100">
        <v>114</v>
      </c>
      <c r="B118" s="101">
        <v>46020</v>
      </c>
      <c r="C118" s="101">
        <v>46020</v>
      </c>
      <c r="D118" s="102">
        <v>0.33333333333333331</v>
      </c>
      <c r="E118" s="102">
        <v>0.83333333333333337</v>
      </c>
      <c r="F118" s="103">
        <v>1682000</v>
      </c>
      <c r="G118" s="103">
        <f t="shared" si="1"/>
        <v>1682000</v>
      </c>
      <c r="H118" s="104" t="s">
        <v>12</v>
      </c>
      <c r="I118" s="105" t="s">
        <v>146</v>
      </c>
      <c r="J118" s="105" t="s">
        <v>27</v>
      </c>
      <c r="K118" s="108" t="s">
        <v>15</v>
      </c>
      <c r="L118" s="100" t="s">
        <v>27</v>
      </c>
      <c r="M118" s="107" t="s">
        <v>124</v>
      </c>
    </row>
    <row r="119" spans="1:13" x14ac:dyDescent="0.35">
      <c r="A119" s="100">
        <v>115</v>
      </c>
      <c r="B119" s="101">
        <v>46020</v>
      </c>
      <c r="C119" s="101">
        <v>46021</v>
      </c>
      <c r="D119" s="102">
        <v>0.83333333333333337</v>
      </c>
      <c r="E119" s="102">
        <v>0.33333333333333331</v>
      </c>
      <c r="F119" s="103">
        <v>160000</v>
      </c>
      <c r="G119" s="103">
        <f t="shared" si="1"/>
        <v>160000</v>
      </c>
      <c r="H119" s="104" t="s">
        <v>12</v>
      </c>
      <c r="I119" s="105" t="s">
        <v>146</v>
      </c>
      <c r="J119" s="105" t="s">
        <v>27</v>
      </c>
      <c r="K119" s="108" t="s">
        <v>19</v>
      </c>
      <c r="L119" s="100" t="s">
        <v>27</v>
      </c>
      <c r="M119" s="107" t="s">
        <v>22</v>
      </c>
    </row>
    <row r="120" spans="1:13" x14ac:dyDescent="0.35">
      <c r="A120" s="100">
        <v>116</v>
      </c>
      <c r="B120" s="101">
        <v>46020</v>
      </c>
      <c r="C120" s="101">
        <v>46021</v>
      </c>
      <c r="D120" s="102">
        <v>0.83333333333333337</v>
      </c>
      <c r="E120" s="102">
        <v>0.33333333333333331</v>
      </c>
      <c r="F120" s="103">
        <v>750000</v>
      </c>
      <c r="G120" s="103">
        <f t="shared" si="1"/>
        <v>750000</v>
      </c>
      <c r="H120" s="104" t="s">
        <v>12</v>
      </c>
      <c r="I120" s="105" t="s">
        <v>146</v>
      </c>
      <c r="J120" s="105" t="s">
        <v>27</v>
      </c>
      <c r="K120" s="108" t="s">
        <v>140</v>
      </c>
      <c r="L120" s="100" t="s">
        <v>27</v>
      </c>
      <c r="M120" s="107" t="s">
        <v>124</v>
      </c>
    </row>
    <row r="121" spans="1:13" x14ac:dyDescent="0.35">
      <c r="A121" s="100">
        <v>117</v>
      </c>
      <c r="B121" s="101">
        <v>46021</v>
      </c>
      <c r="C121" s="101">
        <v>46021</v>
      </c>
      <c r="D121" s="102">
        <v>0.33333333333333331</v>
      </c>
      <c r="E121" s="102">
        <v>0.83333333333333337</v>
      </c>
      <c r="F121" s="103">
        <v>313000</v>
      </c>
      <c r="G121" s="103">
        <f t="shared" si="1"/>
        <v>313000</v>
      </c>
      <c r="H121" s="104" t="s">
        <v>12</v>
      </c>
      <c r="I121" s="105">
        <v>987263268612</v>
      </c>
      <c r="J121" s="105" t="s">
        <v>27</v>
      </c>
      <c r="K121" s="108" t="s">
        <v>142</v>
      </c>
      <c r="L121" s="100" t="s">
        <v>27</v>
      </c>
      <c r="M121" s="107" t="s">
        <v>22</v>
      </c>
    </row>
    <row r="122" spans="1:13" x14ac:dyDescent="0.35">
      <c r="A122" s="100">
        <v>118</v>
      </c>
      <c r="B122" s="101">
        <v>46021</v>
      </c>
      <c r="C122" s="101">
        <v>46021</v>
      </c>
      <c r="D122" s="102">
        <v>0.33333333333333331</v>
      </c>
      <c r="E122" s="102">
        <v>0.83333333333333337</v>
      </c>
      <c r="F122" s="103">
        <v>1050000</v>
      </c>
      <c r="G122" s="103">
        <f t="shared" si="1"/>
        <v>1050000</v>
      </c>
      <c r="H122" s="104" t="s">
        <v>12</v>
      </c>
      <c r="I122" s="105">
        <v>987263268612</v>
      </c>
      <c r="J122" s="105" t="s">
        <v>27</v>
      </c>
      <c r="K122" s="108" t="s">
        <v>24</v>
      </c>
      <c r="L122" s="100" t="s">
        <v>27</v>
      </c>
      <c r="M122" s="107" t="s">
        <v>124</v>
      </c>
    </row>
    <row r="123" spans="1:13" x14ac:dyDescent="0.35">
      <c r="A123" s="100">
        <v>119</v>
      </c>
      <c r="B123" s="101">
        <v>46021</v>
      </c>
      <c r="C123" s="101">
        <v>46022</v>
      </c>
      <c r="D123" s="102">
        <v>0.83333333333333337</v>
      </c>
      <c r="E123" s="102">
        <v>0.33333333333333331</v>
      </c>
      <c r="F123" s="103">
        <v>138000</v>
      </c>
      <c r="G123" s="103">
        <f t="shared" si="1"/>
        <v>138000</v>
      </c>
      <c r="H123" s="104" t="s">
        <v>12</v>
      </c>
      <c r="I123" s="105">
        <v>987263268612</v>
      </c>
      <c r="J123" s="105" t="s">
        <v>27</v>
      </c>
      <c r="K123" s="108" t="s">
        <v>143</v>
      </c>
      <c r="L123" s="100" t="s">
        <v>27</v>
      </c>
      <c r="M123" s="107" t="s">
        <v>22</v>
      </c>
    </row>
    <row r="124" spans="1:13" x14ac:dyDescent="0.35">
      <c r="A124" s="100">
        <v>120</v>
      </c>
      <c r="B124" s="101">
        <v>46021</v>
      </c>
      <c r="C124" s="101">
        <v>46022</v>
      </c>
      <c r="D124" s="102">
        <v>0.83333333333333337</v>
      </c>
      <c r="E124" s="102">
        <v>0.33333333333333331</v>
      </c>
      <c r="F124" s="103">
        <v>446000</v>
      </c>
      <c r="G124" s="103">
        <f t="shared" si="1"/>
        <v>446000</v>
      </c>
      <c r="H124" s="104" t="s">
        <v>12</v>
      </c>
      <c r="I124" s="105">
        <v>987263268612</v>
      </c>
      <c r="J124" s="105" t="s">
        <v>27</v>
      </c>
      <c r="K124" s="108" t="s">
        <v>15</v>
      </c>
      <c r="L124" s="100" t="s">
        <v>27</v>
      </c>
      <c r="M124" s="107" t="s">
        <v>124</v>
      </c>
    </row>
    <row r="125" spans="1:13" x14ac:dyDescent="0.35">
      <c r="A125" s="100">
        <v>121</v>
      </c>
      <c r="B125" s="101">
        <v>46022</v>
      </c>
      <c r="C125" s="101">
        <v>46022</v>
      </c>
      <c r="D125" s="102">
        <v>0.33333333333333331</v>
      </c>
      <c r="E125" s="102">
        <v>0.83333333333333337</v>
      </c>
      <c r="F125" s="103">
        <v>193000</v>
      </c>
      <c r="G125" s="103">
        <f t="shared" si="1"/>
        <v>193000</v>
      </c>
      <c r="H125" s="104" t="s">
        <v>12</v>
      </c>
      <c r="I125" s="105">
        <v>987263307022</v>
      </c>
      <c r="J125" s="105" t="s">
        <v>27</v>
      </c>
      <c r="K125" s="108" t="s">
        <v>142</v>
      </c>
      <c r="L125" s="100" t="s">
        <v>27</v>
      </c>
      <c r="M125" s="107" t="s">
        <v>22</v>
      </c>
    </row>
    <row r="126" spans="1:13" x14ac:dyDescent="0.35">
      <c r="A126" s="100">
        <v>122</v>
      </c>
      <c r="B126" s="101">
        <v>46022</v>
      </c>
      <c r="C126" s="101">
        <v>46022</v>
      </c>
      <c r="D126" s="102">
        <v>0.33333333333333331</v>
      </c>
      <c r="E126" s="102">
        <v>0.83333333333333337</v>
      </c>
      <c r="F126" s="103">
        <v>1023000</v>
      </c>
      <c r="G126" s="103">
        <f t="shared" si="1"/>
        <v>1023000</v>
      </c>
      <c r="H126" s="104" t="s">
        <v>12</v>
      </c>
      <c r="I126" s="105">
        <v>987263307022</v>
      </c>
      <c r="J126" s="105" t="s">
        <v>27</v>
      </c>
      <c r="K126" s="108" t="s">
        <v>24</v>
      </c>
      <c r="L126" s="100" t="s">
        <v>27</v>
      </c>
      <c r="M126" s="107" t="s">
        <v>124</v>
      </c>
    </row>
    <row r="127" spans="1:13" x14ac:dyDescent="0.35">
      <c r="A127" s="100">
        <v>123</v>
      </c>
      <c r="B127" s="101">
        <v>46022</v>
      </c>
      <c r="C127" s="101">
        <v>46023</v>
      </c>
      <c r="D127" s="102">
        <v>0.83333333333333337</v>
      </c>
      <c r="E127" s="102">
        <v>0.33333333333333331</v>
      </c>
      <c r="F127" s="103">
        <v>66000</v>
      </c>
      <c r="G127" s="103">
        <f t="shared" si="1"/>
        <v>66000</v>
      </c>
      <c r="H127" s="104" t="s">
        <v>12</v>
      </c>
      <c r="I127" s="105">
        <v>987263307022</v>
      </c>
      <c r="J127" s="105" t="s">
        <v>27</v>
      </c>
      <c r="K127" s="108" t="s">
        <v>143</v>
      </c>
      <c r="L127" s="100" t="s">
        <v>27</v>
      </c>
      <c r="M127" s="107" t="s">
        <v>22</v>
      </c>
    </row>
    <row r="128" spans="1:13" x14ac:dyDescent="0.35">
      <c r="A128" s="100">
        <v>124</v>
      </c>
      <c r="B128" s="101">
        <v>46022</v>
      </c>
      <c r="C128" s="101">
        <v>46023</v>
      </c>
      <c r="D128" s="102">
        <v>0.83333333333333337</v>
      </c>
      <c r="E128" s="102">
        <v>0.33333333333333331</v>
      </c>
      <c r="F128" s="103">
        <v>184000</v>
      </c>
      <c r="G128" s="103">
        <f t="shared" si="1"/>
        <v>184000</v>
      </c>
      <c r="H128" s="104" t="s">
        <v>12</v>
      </c>
      <c r="I128" s="105">
        <v>987263307022</v>
      </c>
      <c r="J128" s="105" t="s">
        <v>27</v>
      </c>
      <c r="K128" s="108" t="s">
        <v>15</v>
      </c>
      <c r="L128" s="100" t="s">
        <v>27</v>
      </c>
      <c r="M128" s="107" t="s">
        <v>124</v>
      </c>
    </row>
    <row r="129" spans="1:13" s="7" customFormat="1" x14ac:dyDescent="0.35">
      <c r="A129" s="90"/>
      <c r="B129" s="91" t="s">
        <v>4</v>
      </c>
      <c r="C129" s="91"/>
      <c r="D129" s="91"/>
      <c r="E129" s="91"/>
      <c r="F129" s="92">
        <f>SUM(F5:F128)</f>
        <v>68617000</v>
      </c>
      <c r="G129" s="92">
        <f>SUM(G5:G128)</f>
        <v>68617000</v>
      </c>
      <c r="H129" s="91"/>
      <c r="I129" s="91"/>
      <c r="J129" s="91"/>
      <c r="K129" s="91"/>
      <c r="L129" s="91"/>
      <c r="M129" s="91"/>
    </row>
  </sheetData>
  <mergeCells count="3">
    <mergeCell ref="B1:M1"/>
    <mergeCell ref="B2:M2"/>
    <mergeCell ref="B3:M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C9D8-1360-49CA-ACF7-D9F5B55048F3}">
  <dimension ref="A1:M129"/>
  <sheetViews>
    <sheetView topLeftCell="A121" workbookViewId="0">
      <selection activeCell="H7" sqref="H7"/>
    </sheetView>
  </sheetViews>
  <sheetFormatPr defaultRowHeight="14.5" x14ac:dyDescent="0.35"/>
  <cols>
    <col min="1" max="1" width="8" style="1" customWidth="1"/>
    <col min="2" max="2" width="10.54296875" customWidth="1"/>
    <col min="3" max="3" width="15.36328125" customWidth="1"/>
    <col min="4" max="4" width="13.08984375" customWidth="1"/>
    <col min="5" max="5" width="14" customWidth="1"/>
    <col min="6" max="6" width="18.6328125" customWidth="1"/>
    <col min="7" max="7" width="19.6328125" customWidth="1"/>
    <col min="8" max="8" width="13.54296875" customWidth="1"/>
    <col min="9" max="9" width="17.7265625" customWidth="1"/>
    <col min="10" max="10" width="16.81640625" customWidth="1"/>
    <col min="11" max="11" width="15.26953125" customWidth="1"/>
    <col min="12" max="12" width="20" customWidth="1"/>
    <col min="13" max="13" width="13.90625" customWidth="1"/>
  </cols>
  <sheetData>
    <row r="1" spans="1:13" ht="15.5" x14ac:dyDescent="0.35">
      <c r="A1" s="150"/>
      <c r="B1" s="367" t="s">
        <v>50</v>
      </c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9"/>
    </row>
    <row r="2" spans="1:13" ht="15.5" x14ac:dyDescent="0.35">
      <c r="A2" s="150"/>
      <c r="B2" s="370">
        <v>46023</v>
      </c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2"/>
    </row>
    <row r="3" spans="1:13" ht="15.5" x14ac:dyDescent="0.35">
      <c r="A3" s="150"/>
      <c r="B3" s="367" t="s">
        <v>51</v>
      </c>
      <c r="C3" s="368"/>
      <c r="D3" s="368"/>
      <c r="E3" s="368"/>
      <c r="F3" s="368"/>
      <c r="G3" s="368"/>
      <c r="H3" s="368"/>
      <c r="I3" s="368"/>
      <c r="J3" s="368"/>
      <c r="K3" s="368"/>
      <c r="L3" s="368"/>
      <c r="M3" s="369"/>
    </row>
    <row r="4" spans="1:13" x14ac:dyDescent="0.35">
      <c r="A4" s="25" t="s">
        <v>52</v>
      </c>
      <c r="B4" s="24" t="s">
        <v>2</v>
      </c>
      <c r="C4" s="25" t="s">
        <v>3</v>
      </c>
      <c r="D4" s="25" t="s">
        <v>0</v>
      </c>
      <c r="E4" s="25" t="s">
        <v>1</v>
      </c>
      <c r="F4" s="109" t="s">
        <v>10</v>
      </c>
      <c r="G4" s="26" t="s">
        <v>9</v>
      </c>
      <c r="H4" s="26" t="s">
        <v>11</v>
      </c>
      <c r="I4" s="27" t="s">
        <v>18</v>
      </c>
      <c r="J4" s="25" t="s">
        <v>17</v>
      </c>
      <c r="K4" s="28" t="s">
        <v>5</v>
      </c>
      <c r="L4" s="25" t="s">
        <v>8</v>
      </c>
      <c r="M4" s="42" t="s">
        <v>6</v>
      </c>
    </row>
    <row r="5" spans="1:13" x14ac:dyDescent="0.35">
      <c r="A5" s="110">
        <v>1</v>
      </c>
      <c r="B5" s="111">
        <v>45992</v>
      </c>
      <c r="C5" s="111">
        <v>46023</v>
      </c>
      <c r="D5" s="112">
        <v>0.33333333333333331</v>
      </c>
      <c r="E5" s="112">
        <v>0.83333333333333337</v>
      </c>
      <c r="F5" s="113">
        <v>108000</v>
      </c>
      <c r="G5" s="113">
        <f t="shared" ref="G5:G65" si="0">SUM(F5)</f>
        <v>108000</v>
      </c>
      <c r="H5" s="114" t="s">
        <v>12</v>
      </c>
      <c r="I5" s="115">
        <v>987263269107</v>
      </c>
      <c r="J5" s="115">
        <v>926006398217264</v>
      </c>
      <c r="K5" s="116" t="s">
        <v>19</v>
      </c>
      <c r="L5" s="115" t="s">
        <v>27</v>
      </c>
      <c r="M5" s="117" t="s">
        <v>22</v>
      </c>
    </row>
    <row r="6" spans="1:13" x14ac:dyDescent="0.35">
      <c r="A6" s="110">
        <v>2</v>
      </c>
      <c r="B6" s="111">
        <v>45992</v>
      </c>
      <c r="C6" s="111">
        <v>46023</v>
      </c>
      <c r="D6" s="112">
        <v>0.33333333333333331</v>
      </c>
      <c r="E6" s="112">
        <v>0.83333333333333337</v>
      </c>
      <c r="F6" s="113">
        <v>136000</v>
      </c>
      <c r="G6" s="113">
        <f t="shared" si="0"/>
        <v>136000</v>
      </c>
      <c r="H6" s="114" t="s">
        <v>12</v>
      </c>
      <c r="I6" s="115">
        <v>987263269107</v>
      </c>
      <c r="J6" s="115">
        <v>926006398217264</v>
      </c>
      <c r="K6" s="116" t="s">
        <v>20</v>
      </c>
      <c r="L6" s="115" t="s">
        <v>27</v>
      </c>
      <c r="M6" s="117" t="s">
        <v>124</v>
      </c>
    </row>
    <row r="7" spans="1:13" x14ac:dyDescent="0.35">
      <c r="A7" s="110">
        <v>3</v>
      </c>
      <c r="B7" s="111">
        <v>45992</v>
      </c>
      <c r="C7" s="111">
        <v>46024</v>
      </c>
      <c r="D7" s="112">
        <v>0.83333333333333337</v>
      </c>
      <c r="E7" s="112">
        <v>0.33333333333333331</v>
      </c>
      <c r="F7" s="113">
        <v>93000</v>
      </c>
      <c r="G7" s="113">
        <f t="shared" si="0"/>
        <v>93000</v>
      </c>
      <c r="H7" s="114" t="s">
        <v>12</v>
      </c>
      <c r="I7" s="115">
        <v>987263269107</v>
      </c>
      <c r="J7" s="115">
        <v>926006398217264</v>
      </c>
      <c r="K7" s="116" t="s">
        <v>25</v>
      </c>
      <c r="L7" s="115" t="s">
        <v>27</v>
      </c>
      <c r="M7" s="117" t="s">
        <v>22</v>
      </c>
    </row>
    <row r="8" spans="1:13" x14ac:dyDescent="0.35">
      <c r="A8" s="110">
        <v>4</v>
      </c>
      <c r="B8" s="111">
        <v>45931</v>
      </c>
      <c r="C8" s="111">
        <v>46024</v>
      </c>
      <c r="D8" s="112">
        <v>0.83333333333333337</v>
      </c>
      <c r="E8" s="112">
        <v>0.33333333333333331</v>
      </c>
      <c r="F8" s="113">
        <v>0</v>
      </c>
      <c r="G8" s="113">
        <f t="shared" si="0"/>
        <v>0</v>
      </c>
      <c r="H8" s="114" t="s">
        <v>12</v>
      </c>
      <c r="I8" s="115">
        <v>987263269107</v>
      </c>
      <c r="J8" s="115">
        <v>926006398217264</v>
      </c>
      <c r="K8" s="116" t="s">
        <v>24</v>
      </c>
      <c r="L8" s="115" t="s">
        <v>27</v>
      </c>
      <c r="M8" s="117" t="s">
        <v>124</v>
      </c>
    </row>
    <row r="9" spans="1:13" x14ac:dyDescent="0.35">
      <c r="A9" s="110">
        <v>5</v>
      </c>
      <c r="B9" s="111">
        <v>45993</v>
      </c>
      <c r="C9" s="111">
        <v>46024</v>
      </c>
      <c r="D9" s="112">
        <v>0.33333333333333331</v>
      </c>
      <c r="E9" s="112">
        <v>0.83333333333333337</v>
      </c>
      <c r="F9" s="113">
        <v>294000</v>
      </c>
      <c r="G9" s="113">
        <f t="shared" si="0"/>
        <v>294000</v>
      </c>
      <c r="H9" s="114" t="s">
        <v>12</v>
      </c>
      <c r="I9" s="115">
        <v>987263277827</v>
      </c>
      <c r="J9" s="115">
        <v>926007398634337</v>
      </c>
      <c r="K9" s="116" t="s">
        <v>19</v>
      </c>
      <c r="L9" s="115" t="s">
        <v>27</v>
      </c>
      <c r="M9" s="117" t="s">
        <v>22</v>
      </c>
    </row>
    <row r="10" spans="1:13" x14ac:dyDescent="0.35">
      <c r="A10" s="110">
        <v>6</v>
      </c>
      <c r="B10" s="111">
        <v>46024</v>
      </c>
      <c r="C10" s="111">
        <v>46024</v>
      </c>
      <c r="D10" s="112">
        <v>0.33333333333333331</v>
      </c>
      <c r="E10" s="112">
        <v>0.83333333333333337</v>
      </c>
      <c r="F10" s="113">
        <v>76000</v>
      </c>
      <c r="G10" s="113">
        <f t="shared" si="0"/>
        <v>76000</v>
      </c>
      <c r="H10" s="114" t="s">
        <v>12</v>
      </c>
      <c r="I10" s="115">
        <v>987263277827</v>
      </c>
      <c r="J10" s="115">
        <v>926007398634337</v>
      </c>
      <c r="K10" s="116" t="s">
        <v>20</v>
      </c>
      <c r="L10" s="115" t="s">
        <v>27</v>
      </c>
      <c r="M10" s="117" t="s">
        <v>124</v>
      </c>
    </row>
    <row r="11" spans="1:13" x14ac:dyDescent="0.35">
      <c r="A11" s="110">
        <v>7</v>
      </c>
      <c r="B11" s="111">
        <v>46024</v>
      </c>
      <c r="C11" s="111">
        <v>46025</v>
      </c>
      <c r="D11" s="112">
        <v>0.83333333333333337</v>
      </c>
      <c r="E11" s="112">
        <v>0.33333333333333331</v>
      </c>
      <c r="F11" s="113">
        <v>127000</v>
      </c>
      <c r="G11" s="113">
        <f t="shared" si="0"/>
        <v>127000</v>
      </c>
      <c r="H11" s="114" t="s">
        <v>12</v>
      </c>
      <c r="I11" s="115">
        <v>987263277827</v>
      </c>
      <c r="J11" s="115">
        <v>926007398634337</v>
      </c>
      <c r="K11" s="116" t="s">
        <v>25</v>
      </c>
      <c r="L11" s="115" t="s">
        <v>27</v>
      </c>
      <c r="M11" s="117" t="s">
        <v>22</v>
      </c>
    </row>
    <row r="12" spans="1:13" x14ac:dyDescent="0.35">
      <c r="A12" s="110">
        <v>8</v>
      </c>
      <c r="B12" s="111">
        <v>46024</v>
      </c>
      <c r="C12" s="111">
        <v>46025</v>
      </c>
      <c r="D12" s="112">
        <v>0.83333333333333337</v>
      </c>
      <c r="E12" s="112">
        <v>0.33333333333333331</v>
      </c>
      <c r="F12" s="113">
        <v>4000</v>
      </c>
      <c r="G12" s="113">
        <f t="shared" si="0"/>
        <v>4000</v>
      </c>
      <c r="H12" s="114" t="s">
        <v>12</v>
      </c>
      <c r="I12" s="115">
        <v>987263277827</v>
      </c>
      <c r="J12" s="115">
        <v>926007398634337</v>
      </c>
      <c r="K12" s="116" t="s">
        <v>24</v>
      </c>
      <c r="L12" s="115" t="s">
        <v>27</v>
      </c>
      <c r="M12" s="117" t="s">
        <v>145</v>
      </c>
    </row>
    <row r="13" spans="1:13" x14ac:dyDescent="0.35">
      <c r="A13" s="110">
        <v>9</v>
      </c>
      <c r="B13" s="111">
        <v>46025</v>
      </c>
      <c r="C13" s="111">
        <v>46025</v>
      </c>
      <c r="D13" s="112">
        <v>0.33333333333333331</v>
      </c>
      <c r="E13" s="112">
        <v>0.83333333333333337</v>
      </c>
      <c r="F13" s="113">
        <v>188000</v>
      </c>
      <c r="G13" s="113">
        <f t="shared" si="0"/>
        <v>188000</v>
      </c>
      <c r="H13" s="114" t="s">
        <v>12</v>
      </c>
      <c r="I13" s="115">
        <v>9872632778330</v>
      </c>
      <c r="J13" s="115">
        <v>926007398633950</v>
      </c>
      <c r="K13" s="116" t="s">
        <v>16</v>
      </c>
      <c r="L13" s="115" t="s">
        <v>27</v>
      </c>
      <c r="M13" s="117" t="s">
        <v>22</v>
      </c>
    </row>
    <row r="14" spans="1:13" x14ac:dyDescent="0.35">
      <c r="A14" s="110">
        <v>10</v>
      </c>
      <c r="B14" s="111">
        <v>46025</v>
      </c>
      <c r="C14" s="111">
        <v>46025</v>
      </c>
      <c r="D14" s="112">
        <v>0.33333333333333331</v>
      </c>
      <c r="E14" s="112">
        <v>0.83333333333333337</v>
      </c>
      <c r="F14" s="113">
        <v>696000</v>
      </c>
      <c r="G14" s="113">
        <f t="shared" si="0"/>
        <v>696000</v>
      </c>
      <c r="H14" s="114" t="s">
        <v>12</v>
      </c>
      <c r="I14" s="115">
        <v>987263277830</v>
      </c>
      <c r="J14" s="115">
        <v>926007398633950</v>
      </c>
      <c r="K14" s="116" t="s">
        <v>15</v>
      </c>
      <c r="L14" s="115" t="s">
        <v>27</v>
      </c>
      <c r="M14" s="117" t="s">
        <v>124</v>
      </c>
    </row>
    <row r="15" spans="1:13" x14ac:dyDescent="0.35">
      <c r="A15" s="110">
        <v>11</v>
      </c>
      <c r="B15" s="111">
        <v>46025</v>
      </c>
      <c r="C15" s="111">
        <v>46026</v>
      </c>
      <c r="D15" s="112">
        <v>0.83333333333333337</v>
      </c>
      <c r="E15" s="112">
        <v>0.33333333333333331</v>
      </c>
      <c r="F15" s="113">
        <v>62000</v>
      </c>
      <c r="G15" s="113">
        <f t="shared" si="0"/>
        <v>62000</v>
      </c>
      <c r="H15" s="114" t="s">
        <v>12</v>
      </c>
      <c r="I15" s="115">
        <v>987263277830</v>
      </c>
      <c r="J15" s="115">
        <v>926007398633950</v>
      </c>
      <c r="K15" s="116" t="s">
        <v>19</v>
      </c>
      <c r="L15" s="115" t="s">
        <v>27</v>
      </c>
      <c r="M15" s="117" t="s">
        <v>22</v>
      </c>
    </row>
    <row r="16" spans="1:13" x14ac:dyDescent="0.35">
      <c r="A16" s="110">
        <v>12</v>
      </c>
      <c r="B16" s="111">
        <v>46025</v>
      </c>
      <c r="C16" s="111">
        <v>46026</v>
      </c>
      <c r="D16" s="112">
        <v>0.83333333333333337</v>
      </c>
      <c r="E16" s="112">
        <v>0.33333333333333331</v>
      </c>
      <c r="F16" s="113">
        <v>332000</v>
      </c>
      <c r="G16" s="113">
        <f t="shared" si="0"/>
        <v>332000</v>
      </c>
      <c r="H16" s="114" t="s">
        <v>12</v>
      </c>
      <c r="I16" s="115">
        <v>987263277830</v>
      </c>
      <c r="J16" s="115">
        <v>926007398633950</v>
      </c>
      <c r="K16" s="116" t="s">
        <v>20</v>
      </c>
      <c r="L16" s="115" t="s">
        <v>27</v>
      </c>
      <c r="M16" s="117" t="s">
        <v>124</v>
      </c>
    </row>
    <row r="17" spans="1:13" x14ac:dyDescent="0.35">
      <c r="A17" s="110">
        <v>13</v>
      </c>
      <c r="B17" s="111">
        <v>46026</v>
      </c>
      <c r="C17" s="111">
        <v>46026</v>
      </c>
      <c r="D17" s="112">
        <v>0.33333333333333331</v>
      </c>
      <c r="E17" s="112">
        <v>0.83333333333333337</v>
      </c>
      <c r="F17" s="113">
        <v>294000</v>
      </c>
      <c r="G17" s="113">
        <f t="shared" si="0"/>
        <v>294000</v>
      </c>
      <c r="H17" s="114" t="s">
        <v>12</v>
      </c>
      <c r="I17" s="115">
        <v>987263277843</v>
      </c>
      <c r="J17" s="115">
        <v>926007398633368</v>
      </c>
      <c r="K17" s="116" t="s">
        <v>16</v>
      </c>
      <c r="L17" s="115" t="s">
        <v>27</v>
      </c>
      <c r="M17" s="117" t="s">
        <v>22</v>
      </c>
    </row>
    <row r="18" spans="1:13" x14ac:dyDescent="0.35">
      <c r="A18" s="110">
        <v>14</v>
      </c>
      <c r="B18" s="111">
        <v>46026</v>
      </c>
      <c r="C18" s="111">
        <v>46026</v>
      </c>
      <c r="D18" s="112">
        <v>0.33333333333333331</v>
      </c>
      <c r="E18" s="112">
        <v>0.83333333333333337</v>
      </c>
      <c r="F18" s="113">
        <v>978000</v>
      </c>
      <c r="G18" s="113">
        <f t="shared" si="0"/>
        <v>978000</v>
      </c>
      <c r="H18" s="114" t="s">
        <v>12</v>
      </c>
      <c r="I18" s="115">
        <v>987263277843</v>
      </c>
      <c r="J18" s="115">
        <v>926007398633368</v>
      </c>
      <c r="K18" s="116" t="s">
        <v>15</v>
      </c>
      <c r="L18" s="115" t="s">
        <v>27</v>
      </c>
      <c r="M18" s="117" t="s">
        <v>124</v>
      </c>
    </row>
    <row r="19" spans="1:13" x14ac:dyDescent="0.35">
      <c r="A19" s="110">
        <v>15</v>
      </c>
      <c r="B19" s="111">
        <v>46026</v>
      </c>
      <c r="C19" s="111">
        <v>46027</v>
      </c>
      <c r="D19" s="112">
        <v>0.83333333333333337</v>
      </c>
      <c r="E19" s="112">
        <v>0.33333333333333331</v>
      </c>
      <c r="F19" s="113">
        <v>194000</v>
      </c>
      <c r="G19" s="113">
        <f t="shared" si="0"/>
        <v>194000</v>
      </c>
      <c r="H19" s="114" t="s">
        <v>12</v>
      </c>
      <c r="I19" s="115">
        <v>987263277843</v>
      </c>
      <c r="J19" s="115">
        <v>926007398633368</v>
      </c>
      <c r="K19" s="116" t="s">
        <v>19</v>
      </c>
      <c r="L19" s="115" t="s">
        <v>27</v>
      </c>
      <c r="M19" s="117" t="s">
        <v>22</v>
      </c>
    </row>
    <row r="20" spans="1:13" x14ac:dyDescent="0.35">
      <c r="A20" s="110">
        <v>16</v>
      </c>
      <c r="B20" s="111">
        <v>46026</v>
      </c>
      <c r="C20" s="111">
        <v>46027</v>
      </c>
      <c r="D20" s="112">
        <v>0.83333333333333337</v>
      </c>
      <c r="E20" s="112">
        <v>0.33333333333333331</v>
      </c>
      <c r="F20" s="113">
        <v>338000</v>
      </c>
      <c r="G20" s="113">
        <f t="shared" si="0"/>
        <v>338000</v>
      </c>
      <c r="H20" s="114" t="s">
        <v>12</v>
      </c>
      <c r="I20" s="115">
        <v>987263277843</v>
      </c>
      <c r="J20" s="115">
        <v>926007398633368</v>
      </c>
      <c r="K20" s="116" t="s">
        <v>20</v>
      </c>
      <c r="L20" s="115" t="s">
        <v>27</v>
      </c>
      <c r="M20" s="117" t="s">
        <v>124</v>
      </c>
    </row>
    <row r="21" spans="1:13" x14ac:dyDescent="0.35">
      <c r="A21" s="110">
        <v>17</v>
      </c>
      <c r="B21" s="111">
        <v>46027</v>
      </c>
      <c r="C21" s="111">
        <v>46027</v>
      </c>
      <c r="D21" s="112">
        <v>0.33333333333333331</v>
      </c>
      <c r="E21" s="112">
        <v>0.83333333333333337</v>
      </c>
      <c r="F21" s="113">
        <v>204000</v>
      </c>
      <c r="G21" s="113">
        <f t="shared" si="0"/>
        <v>204000</v>
      </c>
      <c r="H21" s="114" t="s">
        <v>12</v>
      </c>
      <c r="I21" s="115">
        <v>987263307065</v>
      </c>
      <c r="J21" s="115">
        <v>926010399479902</v>
      </c>
      <c r="K21" s="116" t="s">
        <v>25</v>
      </c>
      <c r="L21" s="110" t="s">
        <v>27</v>
      </c>
      <c r="M21" s="117" t="s">
        <v>22</v>
      </c>
    </row>
    <row r="22" spans="1:13" x14ac:dyDescent="0.35">
      <c r="A22" s="110">
        <v>18</v>
      </c>
      <c r="B22" s="111">
        <v>46027</v>
      </c>
      <c r="C22" s="111">
        <v>46027</v>
      </c>
      <c r="D22" s="112">
        <v>0.33333333333333331</v>
      </c>
      <c r="E22" s="112">
        <v>0.83333333333333337</v>
      </c>
      <c r="F22" s="113">
        <v>864000</v>
      </c>
      <c r="G22" s="113">
        <f t="shared" si="0"/>
        <v>864000</v>
      </c>
      <c r="H22" s="114" t="s">
        <v>12</v>
      </c>
      <c r="I22" s="115">
        <v>987263307065</v>
      </c>
      <c r="J22" s="115">
        <v>926010399479902</v>
      </c>
      <c r="K22" s="116" t="s">
        <v>24</v>
      </c>
      <c r="L22" s="110" t="s">
        <v>27</v>
      </c>
      <c r="M22" s="117" t="s">
        <v>124</v>
      </c>
    </row>
    <row r="23" spans="1:13" x14ac:dyDescent="0.35">
      <c r="A23" s="110">
        <v>19</v>
      </c>
      <c r="B23" s="111">
        <v>46027</v>
      </c>
      <c r="C23" s="111">
        <v>46028</v>
      </c>
      <c r="D23" s="112">
        <v>0.83333333333333337</v>
      </c>
      <c r="E23" s="112">
        <v>0.33333333333333331</v>
      </c>
      <c r="F23" s="113">
        <v>139000</v>
      </c>
      <c r="G23" s="113">
        <f t="shared" si="0"/>
        <v>139000</v>
      </c>
      <c r="H23" s="114" t="s">
        <v>12</v>
      </c>
      <c r="I23" s="115">
        <v>987263307065</v>
      </c>
      <c r="J23" s="115">
        <v>926010399479902</v>
      </c>
      <c r="K23" s="116" t="s">
        <v>16</v>
      </c>
      <c r="L23" s="110" t="s">
        <v>27</v>
      </c>
      <c r="M23" s="117" t="s">
        <v>22</v>
      </c>
    </row>
    <row r="24" spans="1:13" x14ac:dyDescent="0.35">
      <c r="A24" s="110">
        <v>20</v>
      </c>
      <c r="B24" s="111">
        <v>46027</v>
      </c>
      <c r="C24" s="111">
        <v>46028</v>
      </c>
      <c r="D24" s="112">
        <v>0.83333333333333337</v>
      </c>
      <c r="E24" s="112">
        <v>0.33333333333333331</v>
      </c>
      <c r="F24" s="113">
        <v>327000</v>
      </c>
      <c r="G24" s="113">
        <f t="shared" si="0"/>
        <v>327000</v>
      </c>
      <c r="H24" s="114" t="s">
        <v>12</v>
      </c>
      <c r="I24" s="115">
        <v>987263307065</v>
      </c>
      <c r="J24" s="115">
        <v>926010399479902</v>
      </c>
      <c r="K24" s="116" t="s">
        <v>15</v>
      </c>
      <c r="L24" s="110" t="s">
        <v>27</v>
      </c>
      <c r="M24" s="117" t="s">
        <v>124</v>
      </c>
    </row>
    <row r="25" spans="1:13" x14ac:dyDescent="0.35">
      <c r="A25" s="110">
        <v>21</v>
      </c>
      <c r="B25" s="111">
        <v>46028</v>
      </c>
      <c r="C25" s="111">
        <v>46028</v>
      </c>
      <c r="D25" s="112">
        <v>0.33333333333333331</v>
      </c>
      <c r="E25" s="112">
        <v>0.83333333333333337</v>
      </c>
      <c r="F25" s="113">
        <v>244000</v>
      </c>
      <c r="G25" s="113">
        <f t="shared" si="0"/>
        <v>244000</v>
      </c>
      <c r="H25" s="114" t="s">
        <v>12</v>
      </c>
      <c r="I25" s="115">
        <v>987263307076</v>
      </c>
      <c r="J25" s="115">
        <v>926010399480441</v>
      </c>
      <c r="K25" s="116" t="s">
        <v>25</v>
      </c>
      <c r="L25" s="110" t="s">
        <v>27</v>
      </c>
      <c r="M25" s="117" t="s">
        <v>22</v>
      </c>
    </row>
    <row r="26" spans="1:13" x14ac:dyDescent="0.35">
      <c r="A26" s="110">
        <v>22</v>
      </c>
      <c r="B26" s="111">
        <v>46028</v>
      </c>
      <c r="C26" s="111">
        <v>46028</v>
      </c>
      <c r="D26" s="112">
        <v>0.33333333333333331</v>
      </c>
      <c r="E26" s="112">
        <v>0.83333333333333337</v>
      </c>
      <c r="F26" s="113">
        <v>943000</v>
      </c>
      <c r="G26" s="113">
        <f t="shared" si="0"/>
        <v>943000</v>
      </c>
      <c r="H26" s="114" t="s">
        <v>12</v>
      </c>
      <c r="I26" s="115">
        <v>987263307076</v>
      </c>
      <c r="J26" s="115">
        <v>926010399480441</v>
      </c>
      <c r="K26" s="116" t="s">
        <v>24</v>
      </c>
      <c r="L26" s="110" t="s">
        <v>27</v>
      </c>
      <c r="M26" s="117" t="s">
        <v>124</v>
      </c>
    </row>
    <row r="27" spans="1:13" x14ac:dyDescent="0.35">
      <c r="A27" s="110">
        <v>23</v>
      </c>
      <c r="B27" s="111">
        <v>46028</v>
      </c>
      <c r="C27" s="111">
        <v>46029</v>
      </c>
      <c r="D27" s="112">
        <v>0.83333333333333337</v>
      </c>
      <c r="E27" s="112">
        <v>0.33333333333333331</v>
      </c>
      <c r="F27" s="113">
        <v>62000</v>
      </c>
      <c r="G27" s="113">
        <f t="shared" si="0"/>
        <v>62000</v>
      </c>
      <c r="H27" s="114" t="s">
        <v>12</v>
      </c>
      <c r="I27" s="115">
        <v>987263307076</v>
      </c>
      <c r="J27" s="115">
        <v>926010399480441</v>
      </c>
      <c r="K27" s="116" t="s">
        <v>16</v>
      </c>
      <c r="L27" s="110" t="s">
        <v>27</v>
      </c>
      <c r="M27" s="117" t="s">
        <v>22</v>
      </c>
    </row>
    <row r="28" spans="1:13" x14ac:dyDescent="0.35">
      <c r="A28" s="110">
        <v>24</v>
      </c>
      <c r="B28" s="111">
        <v>46028</v>
      </c>
      <c r="C28" s="111">
        <v>46029</v>
      </c>
      <c r="D28" s="112">
        <v>0.83333333333333337</v>
      </c>
      <c r="E28" s="112">
        <v>0.33333333333333331</v>
      </c>
      <c r="F28" s="113">
        <v>295000</v>
      </c>
      <c r="G28" s="113">
        <f t="shared" si="0"/>
        <v>295000</v>
      </c>
      <c r="H28" s="114" t="s">
        <v>12</v>
      </c>
      <c r="I28" s="115">
        <v>987263307076</v>
      </c>
      <c r="J28" s="115">
        <v>926010399480441</v>
      </c>
      <c r="K28" s="116" t="s">
        <v>15</v>
      </c>
      <c r="L28" s="110" t="s">
        <v>27</v>
      </c>
      <c r="M28" s="117" t="s">
        <v>13</v>
      </c>
    </row>
    <row r="29" spans="1:13" x14ac:dyDescent="0.35">
      <c r="A29" s="110">
        <v>25</v>
      </c>
      <c r="B29" s="111">
        <v>46029</v>
      </c>
      <c r="C29" s="111">
        <v>46029</v>
      </c>
      <c r="D29" s="112">
        <v>0.33333333333333331</v>
      </c>
      <c r="E29" s="112">
        <v>0.83333333333333337</v>
      </c>
      <c r="F29" s="113">
        <v>252000</v>
      </c>
      <c r="G29" s="113">
        <f t="shared" si="0"/>
        <v>252000</v>
      </c>
      <c r="H29" s="114" t="s">
        <v>12</v>
      </c>
      <c r="I29" s="115">
        <v>987263307085</v>
      </c>
      <c r="J29" s="115">
        <v>926010399480066</v>
      </c>
      <c r="K29" s="116" t="s">
        <v>19</v>
      </c>
      <c r="L29" s="110" t="s">
        <v>27</v>
      </c>
      <c r="M29" s="117" t="s">
        <v>22</v>
      </c>
    </row>
    <row r="30" spans="1:13" x14ac:dyDescent="0.35">
      <c r="A30" s="110">
        <v>26</v>
      </c>
      <c r="B30" s="111">
        <v>46029</v>
      </c>
      <c r="C30" s="111">
        <v>46029</v>
      </c>
      <c r="D30" s="112">
        <v>0.33333333333333331</v>
      </c>
      <c r="E30" s="112">
        <v>0.83333333333333337</v>
      </c>
      <c r="F30" s="113">
        <v>1082000</v>
      </c>
      <c r="G30" s="113">
        <f t="shared" si="0"/>
        <v>1082000</v>
      </c>
      <c r="H30" s="114" t="s">
        <v>12</v>
      </c>
      <c r="I30" s="115">
        <v>987263307085</v>
      </c>
      <c r="J30" s="115">
        <v>926010399480066</v>
      </c>
      <c r="K30" s="116" t="s">
        <v>20</v>
      </c>
      <c r="L30" s="110" t="s">
        <v>27</v>
      </c>
      <c r="M30" s="117" t="s">
        <v>13</v>
      </c>
    </row>
    <row r="31" spans="1:13" x14ac:dyDescent="0.35">
      <c r="A31" s="110">
        <v>27</v>
      </c>
      <c r="B31" s="111">
        <v>46029</v>
      </c>
      <c r="C31" s="111">
        <v>46030</v>
      </c>
      <c r="D31" s="112">
        <v>0.83333333333333337</v>
      </c>
      <c r="E31" s="112">
        <v>0.33333333333333331</v>
      </c>
      <c r="F31" s="113">
        <v>87000</v>
      </c>
      <c r="G31" s="113">
        <f t="shared" si="0"/>
        <v>87000</v>
      </c>
      <c r="H31" s="114" t="s">
        <v>12</v>
      </c>
      <c r="I31" s="115">
        <v>987263307085</v>
      </c>
      <c r="J31" s="115">
        <v>926010399480066</v>
      </c>
      <c r="K31" s="116" t="s">
        <v>25</v>
      </c>
      <c r="L31" s="110" t="s">
        <v>27</v>
      </c>
      <c r="M31" s="117" t="s">
        <v>22</v>
      </c>
    </row>
    <row r="32" spans="1:13" x14ac:dyDescent="0.35">
      <c r="A32" s="110">
        <v>28</v>
      </c>
      <c r="B32" s="111">
        <v>46029</v>
      </c>
      <c r="C32" s="111">
        <v>46030</v>
      </c>
      <c r="D32" s="112">
        <v>0.83333333333333337</v>
      </c>
      <c r="E32" s="112">
        <v>0.33333333333333331</v>
      </c>
      <c r="F32" s="113">
        <v>345000</v>
      </c>
      <c r="G32" s="113">
        <f t="shared" si="0"/>
        <v>345000</v>
      </c>
      <c r="H32" s="114" t="s">
        <v>12</v>
      </c>
      <c r="I32" s="115">
        <v>987263307085</v>
      </c>
      <c r="J32" s="115">
        <v>926010399480066</v>
      </c>
      <c r="K32" s="116" t="s">
        <v>24</v>
      </c>
      <c r="L32" s="110" t="s">
        <v>27</v>
      </c>
      <c r="M32" s="117" t="s">
        <v>13</v>
      </c>
    </row>
    <row r="33" spans="1:13" x14ac:dyDescent="0.35">
      <c r="A33" s="110">
        <v>29</v>
      </c>
      <c r="B33" s="111">
        <v>46030</v>
      </c>
      <c r="C33" s="111">
        <v>46030</v>
      </c>
      <c r="D33" s="112">
        <v>0.33333333333333331</v>
      </c>
      <c r="E33" s="112">
        <v>0.83333333333333337</v>
      </c>
      <c r="F33" s="113">
        <v>219000</v>
      </c>
      <c r="G33" s="113">
        <f t="shared" si="0"/>
        <v>219000</v>
      </c>
      <c r="H33" s="114" t="s">
        <v>12</v>
      </c>
      <c r="I33" s="115">
        <v>987263307126</v>
      </c>
      <c r="J33" s="115">
        <v>926010399480441</v>
      </c>
      <c r="K33" s="116" t="s">
        <v>19</v>
      </c>
      <c r="L33" s="110" t="s">
        <v>27</v>
      </c>
      <c r="M33" s="117" t="s">
        <v>22</v>
      </c>
    </row>
    <row r="34" spans="1:13" x14ac:dyDescent="0.35">
      <c r="A34" s="110">
        <v>30</v>
      </c>
      <c r="B34" s="111">
        <v>46030</v>
      </c>
      <c r="C34" s="111">
        <v>46030</v>
      </c>
      <c r="D34" s="112">
        <v>0.33333333333333331</v>
      </c>
      <c r="E34" s="112">
        <v>0.83333333333333337</v>
      </c>
      <c r="F34" s="113">
        <v>1039000</v>
      </c>
      <c r="G34" s="113">
        <f t="shared" si="0"/>
        <v>1039000</v>
      </c>
      <c r="H34" s="114" t="s">
        <v>12</v>
      </c>
      <c r="I34" s="115">
        <v>987263307126</v>
      </c>
      <c r="J34" s="115">
        <v>926010399480441</v>
      </c>
      <c r="K34" s="116" t="s">
        <v>20</v>
      </c>
      <c r="L34" s="110" t="s">
        <v>27</v>
      </c>
      <c r="M34" s="117" t="s">
        <v>13</v>
      </c>
    </row>
    <row r="35" spans="1:13" x14ac:dyDescent="0.35">
      <c r="A35" s="110">
        <v>31</v>
      </c>
      <c r="B35" s="111">
        <v>46030</v>
      </c>
      <c r="C35" s="111">
        <v>46031</v>
      </c>
      <c r="D35" s="112">
        <v>0.83333333333333337</v>
      </c>
      <c r="E35" s="112">
        <v>0.33333333333333331</v>
      </c>
      <c r="F35" s="113">
        <v>121000</v>
      </c>
      <c r="G35" s="113">
        <f t="shared" si="0"/>
        <v>121000</v>
      </c>
      <c r="H35" s="114" t="s">
        <v>12</v>
      </c>
      <c r="I35" s="115">
        <v>987263307126</v>
      </c>
      <c r="J35" s="115">
        <v>926010399480441</v>
      </c>
      <c r="K35" s="116" t="s">
        <v>25</v>
      </c>
      <c r="L35" s="110" t="s">
        <v>27</v>
      </c>
      <c r="M35" s="117" t="s">
        <v>22</v>
      </c>
    </row>
    <row r="36" spans="1:13" x14ac:dyDescent="0.35">
      <c r="A36" s="110">
        <v>32</v>
      </c>
      <c r="B36" s="111">
        <v>46030</v>
      </c>
      <c r="C36" s="111">
        <v>46031</v>
      </c>
      <c r="D36" s="112">
        <v>0.83333333333333337</v>
      </c>
      <c r="E36" s="112">
        <v>0.33333333333333331</v>
      </c>
      <c r="F36" s="113">
        <v>434000</v>
      </c>
      <c r="G36" s="113">
        <f t="shared" si="0"/>
        <v>434000</v>
      </c>
      <c r="H36" s="114" t="s">
        <v>12</v>
      </c>
      <c r="I36" s="115">
        <v>987263307126</v>
      </c>
      <c r="J36" s="115">
        <v>926010399480441</v>
      </c>
      <c r="K36" s="116" t="s">
        <v>24</v>
      </c>
      <c r="L36" s="110" t="s">
        <v>27</v>
      </c>
      <c r="M36" s="117" t="s">
        <v>13</v>
      </c>
    </row>
    <row r="37" spans="1:13" x14ac:dyDescent="0.35">
      <c r="A37" s="110">
        <v>33</v>
      </c>
      <c r="B37" s="111">
        <v>46031</v>
      </c>
      <c r="C37" s="111">
        <v>46031</v>
      </c>
      <c r="D37" s="112">
        <v>0.33333333333333331</v>
      </c>
      <c r="E37" s="112">
        <v>0.83333333333333337</v>
      </c>
      <c r="F37" s="113">
        <v>138000</v>
      </c>
      <c r="G37" s="113">
        <f t="shared" si="0"/>
        <v>138000</v>
      </c>
      <c r="H37" s="114" t="s">
        <v>12</v>
      </c>
      <c r="I37" s="115">
        <v>987263331612</v>
      </c>
      <c r="J37" s="115">
        <v>926014400353535</v>
      </c>
      <c r="K37" s="116" t="s">
        <v>16</v>
      </c>
      <c r="L37" s="110" t="s">
        <v>27</v>
      </c>
      <c r="M37" s="117" t="s">
        <v>22</v>
      </c>
    </row>
    <row r="38" spans="1:13" x14ac:dyDescent="0.35">
      <c r="A38" s="110">
        <v>34</v>
      </c>
      <c r="B38" s="111">
        <v>46031</v>
      </c>
      <c r="C38" s="111">
        <v>46031</v>
      </c>
      <c r="D38" s="112">
        <v>0.33333333333333331</v>
      </c>
      <c r="E38" s="112">
        <v>0.83333333333333337</v>
      </c>
      <c r="F38" s="113">
        <v>1296000</v>
      </c>
      <c r="G38" s="113">
        <f t="shared" si="0"/>
        <v>1296000</v>
      </c>
      <c r="H38" s="114" t="s">
        <v>12</v>
      </c>
      <c r="I38" s="115">
        <v>987263331612</v>
      </c>
      <c r="J38" s="115">
        <v>926014400353535</v>
      </c>
      <c r="K38" s="116" t="s">
        <v>15</v>
      </c>
      <c r="L38" s="110" t="s">
        <v>27</v>
      </c>
      <c r="M38" s="117" t="s">
        <v>13</v>
      </c>
    </row>
    <row r="39" spans="1:13" x14ac:dyDescent="0.35">
      <c r="A39" s="110">
        <v>35</v>
      </c>
      <c r="B39" s="111">
        <v>46031</v>
      </c>
      <c r="C39" s="111">
        <v>46032</v>
      </c>
      <c r="D39" s="112">
        <v>0.83333333333333337</v>
      </c>
      <c r="E39" s="112">
        <v>0.33333333333333331</v>
      </c>
      <c r="F39" s="113">
        <v>166000</v>
      </c>
      <c r="G39" s="113">
        <f t="shared" si="0"/>
        <v>166000</v>
      </c>
      <c r="H39" s="114" t="s">
        <v>12</v>
      </c>
      <c r="I39" s="115">
        <v>987263331612</v>
      </c>
      <c r="J39" s="115">
        <v>926014400353535</v>
      </c>
      <c r="K39" s="116" t="s">
        <v>19</v>
      </c>
      <c r="L39" s="110" t="s">
        <v>27</v>
      </c>
      <c r="M39" s="117" t="s">
        <v>22</v>
      </c>
    </row>
    <row r="40" spans="1:13" x14ac:dyDescent="0.35">
      <c r="A40" s="110">
        <v>36</v>
      </c>
      <c r="B40" s="111">
        <v>46031</v>
      </c>
      <c r="C40" s="111">
        <v>46032</v>
      </c>
      <c r="D40" s="112">
        <v>0.83333333333333337</v>
      </c>
      <c r="E40" s="112">
        <v>0.33333333333333331</v>
      </c>
      <c r="F40" s="113">
        <v>505000</v>
      </c>
      <c r="G40" s="113">
        <f t="shared" si="0"/>
        <v>505000</v>
      </c>
      <c r="H40" s="114" t="s">
        <v>12</v>
      </c>
      <c r="I40" s="115">
        <v>987263331612</v>
      </c>
      <c r="J40" s="115">
        <v>926014400353535</v>
      </c>
      <c r="K40" s="116" t="s">
        <v>20</v>
      </c>
      <c r="L40" s="110" t="s">
        <v>27</v>
      </c>
      <c r="M40" s="117" t="s">
        <v>13</v>
      </c>
    </row>
    <row r="41" spans="1:13" x14ac:dyDescent="0.35">
      <c r="A41" s="110">
        <v>37</v>
      </c>
      <c r="B41" s="111">
        <v>46032</v>
      </c>
      <c r="C41" s="111">
        <v>46032</v>
      </c>
      <c r="D41" s="112">
        <v>0.33333333333333331</v>
      </c>
      <c r="E41" s="112">
        <v>0.83333333333333337</v>
      </c>
      <c r="F41" s="113">
        <v>295000</v>
      </c>
      <c r="G41" s="113">
        <f t="shared" si="0"/>
        <v>295000</v>
      </c>
      <c r="H41" s="114" t="s">
        <v>12</v>
      </c>
      <c r="I41" s="115">
        <v>987263331615</v>
      </c>
      <c r="J41" s="115">
        <v>926014400355638</v>
      </c>
      <c r="K41" s="116" t="s">
        <v>16</v>
      </c>
      <c r="L41" s="110" t="s">
        <v>27</v>
      </c>
      <c r="M41" s="117" t="s">
        <v>22</v>
      </c>
    </row>
    <row r="42" spans="1:13" x14ac:dyDescent="0.35">
      <c r="A42" s="110">
        <v>38</v>
      </c>
      <c r="B42" s="111">
        <v>46032</v>
      </c>
      <c r="C42" s="111">
        <v>46032</v>
      </c>
      <c r="D42" s="112">
        <v>0.33333333333333331</v>
      </c>
      <c r="E42" s="112">
        <v>0.83333333333333337</v>
      </c>
      <c r="F42" s="113">
        <v>1218000</v>
      </c>
      <c r="G42" s="113">
        <f t="shared" si="0"/>
        <v>1218000</v>
      </c>
      <c r="H42" s="114" t="s">
        <v>12</v>
      </c>
      <c r="I42" s="115">
        <v>987263331615</v>
      </c>
      <c r="J42" s="115">
        <v>926014400355638</v>
      </c>
      <c r="K42" s="116" t="s">
        <v>15</v>
      </c>
      <c r="L42" s="110" t="s">
        <v>27</v>
      </c>
      <c r="M42" s="117" t="s">
        <v>13</v>
      </c>
    </row>
    <row r="43" spans="1:13" x14ac:dyDescent="0.35">
      <c r="A43" s="110">
        <v>39</v>
      </c>
      <c r="B43" s="111">
        <v>46032</v>
      </c>
      <c r="C43" s="111">
        <v>46033</v>
      </c>
      <c r="D43" s="112">
        <v>0.83333333333333337</v>
      </c>
      <c r="E43" s="112">
        <v>0.33333333333333331</v>
      </c>
      <c r="F43" s="113">
        <v>238000</v>
      </c>
      <c r="G43" s="113">
        <f t="shared" si="0"/>
        <v>238000</v>
      </c>
      <c r="H43" s="114" t="s">
        <v>12</v>
      </c>
      <c r="I43" s="115">
        <v>987263331615</v>
      </c>
      <c r="J43" s="115">
        <v>926014400355638</v>
      </c>
      <c r="K43" s="116" t="s">
        <v>19</v>
      </c>
      <c r="L43" s="110" t="s">
        <v>27</v>
      </c>
      <c r="M43" s="117" t="s">
        <v>22</v>
      </c>
    </row>
    <row r="44" spans="1:13" x14ac:dyDescent="0.35">
      <c r="A44" s="110">
        <v>39</v>
      </c>
      <c r="B44" s="111">
        <v>46032</v>
      </c>
      <c r="C44" s="111">
        <v>46033</v>
      </c>
      <c r="D44" s="112">
        <v>0.83333333333333337</v>
      </c>
      <c r="E44" s="112">
        <v>0.33333333333333331</v>
      </c>
      <c r="F44" s="113">
        <v>773000</v>
      </c>
      <c r="G44" s="113">
        <f t="shared" si="0"/>
        <v>773000</v>
      </c>
      <c r="H44" s="114" t="s">
        <v>12</v>
      </c>
      <c r="I44" s="115">
        <v>987263331615</v>
      </c>
      <c r="J44" s="115">
        <v>926014400355638</v>
      </c>
      <c r="K44" s="116" t="s">
        <v>20</v>
      </c>
      <c r="L44" s="110" t="s">
        <v>27</v>
      </c>
      <c r="M44" s="117" t="s">
        <v>13</v>
      </c>
    </row>
    <row r="45" spans="1:13" x14ac:dyDescent="0.35">
      <c r="A45" s="110">
        <v>40</v>
      </c>
      <c r="B45" s="111">
        <v>46033</v>
      </c>
      <c r="C45" s="111">
        <v>46033</v>
      </c>
      <c r="D45" s="112">
        <v>0.33333333333333331</v>
      </c>
      <c r="E45" s="112">
        <v>0.83333333333333337</v>
      </c>
      <c r="F45" s="113">
        <v>464000</v>
      </c>
      <c r="G45" s="113">
        <f t="shared" si="0"/>
        <v>464000</v>
      </c>
      <c r="H45" s="114" t="s">
        <v>12</v>
      </c>
      <c r="I45" s="115">
        <v>987263331622</v>
      </c>
      <c r="J45" s="115">
        <v>926014400351941</v>
      </c>
      <c r="K45" s="116" t="s">
        <v>25</v>
      </c>
      <c r="L45" s="110" t="s">
        <v>27</v>
      </c>
      <c r="M45" s="117" t="s">
        <v>22</v>
      </c>
    </row>
    <row r="46" spans="1:13" x14ac:dyDescent="0.35">
      <c r="A46" s="110">
        <v>41</v>
      </c>
      <c r="B46" s="111">
        <v>46033</v>
      </c>
      <c r="C46" s="111">
        <v>46033</v>
      </c>
      <c r="D46" s="112">
        <v>0.33333333333333331</v>
      </c>
      <c r="E46" s="112">
        <v>0.83333333333333337</v>
      </c>
      <c r="F46" s="113">
        <v>1207000</v>
      </c>
      <c r="G46" s="113">
        <f t="shared" si="0"/>
        <v>1207000</v>
      </c>
      <c r="H46" s="114" t="s">
        <v>12</v>
      </c>
      <c r="I46" s="115">
        <v>987263331622</v>
      </c>
      <c r="J46" s="115">
        <v>926014400351941</v>
      </c>
      <c r="K46" s="116" t="s">
        <v>24</v>
      </c>
      <c r="L46" s="110" t="s">
        <v>27</v>
      </c>
      <c r="M46" s="117" t="s">
        <v>13</v>
      </c>
    </row>
    <row r="47" spans="1:13" x14ac:dyDescent="0.35">
      <c r="A47" s="110">
        <v>42</v>
      </c>
      <c r="B47" s="111">
        <v>46033</v>
      </c>
      <c r="C47" s="111">
        <v>46034</v>
      </c>
      <c r="D47" s="112">
        <v>0.83333333333333337</v>
      </c>
      <c r="E47" s="112">
        <v>0.33333333333333331</v>
      </c>
      <c r="F47" s="113">
        <v>252000</v>
      </c>
      <c r="G47" s="113">
        <f t="shared" si="0"/>
        <v>252000</v>
      </c>
      <c r="H47" s="114" t="s">
        <v>12</v>
      </c>
      <c r="I47" s="115">
        <v>987263331622</v>
      </c>
      <c r="J47" s="115">
        <v>926014400351941</v>
      </c>
      <c r="K47" s="116" t="s">
        <v>16</v>
      </c>
      <c r="L47" s="110" t="s">
        <v>27</v>
      </c>
      <c r="M47" s="117" t="s">
        <v>22</v>
      </c>
    </row>
    <row r="48" spans="1:13" x14ac:dyDescent="0.35">
      <c r="A48" s="110">
        <v>43</v>
      </c>
      <c r="B48" s="111">
        <v>46033</v>
      </c>
      <c r="C48" s="111">
        <v>46034</v>
      </c>
      <c r="D48" s="112">
        <v>0.83333333333333337</v>
      </c>
      <c r="E48" s="112">
        <v>0.33333333333333331</v>
      </c>
      <c r="F48" s="113">
        <v>460000</v>
      </c>
      <c r="G48" s="113">
        <f t="shared" si="0"/>
        <v>460000</v>
      </c>
      <c r="H48" s="114" t="s">
        <v>12</v>
      </c>
      <c r="I48" s="115">
        <v>987263331622</v>
      </c>
      <c r="J48" s="115">
        <v>926014400351941</v>
      </c>
      <c r="K48" s="116" t="s">
        <v>15</v>
      </c>
      <c r="L48" s="110" t="s">
        <v>27</v>
      </c>
      <c r="M48" s="117" t="s">
        <v>13</v>
      </c>
    </row>
    <row r="49" spans="1:13" x14ac:dyDescent="0.35">
      <c r="A49" s="110">
        <v>44</v>
      </c>
      <c r="B49" s="111">
        <v>46034</v>
      </c>
      <c r="C49" s="111">
        <v>46034</v>
      </c>
      <c r="D49" s="112">
        <v>0.33333333333333331</v>
      </c>
      <c r="E49" s="112">
        <v>0.83333333333333337</v>
      </c>
      <c r="F49" s="113">
        <v>492000</v>
      </c>
      <c r="G49" s="113">
        <f t="shared" si="0"/>
        <v>492000</v>
      </c>
      <c r="H49" s="114" t="s">
        <v>12</v>
      </c>
      <c r="I49" s="115">
        <v>987263331623</v>
      </c>
      <c r="J49" s="115">
        <v>926015400650320</v>
      </c>
      <c r="K49" s="116" t="s">
        <v>25</v>
      </c>
      <c r="L49" s="110" t="s">
        <v>27</v>
      </c>
      <c r="M49" s="117" t="s">
        <v>22</v>
      </c>
    </row>
    <row r="50" spans="1:13" x14ac:dyDescent="0.35">
      <c r="A50" s="110">
        <v>45</v>
      </c>
      <c r="B50" s="111">
        <v>46034</v>
      </c>
      <c r="C50" s="111">
        <v>46034</v>
      </c>
      <c r="D50" s="112">
        <v>0.33333333333333331</v>
      </c>
      <c r="E50" s="112">
        <v>0.83333333333333337</v>
      </c>
      <c r="F50" s="113">
        <v>1467000</v>
      </c>
      <c r="G50" s="113">
        <f t="shared" si="0"/>
        <v>1467000</v>
      </c>
      <c r="H50" s="114" t="s">
        <v>12</v>
      </c>
      <c r="I50" s="115">
        <v>987263331623</v>
      </c>
      <c r="J50" s="115">
        <v>926015400650320</v>
      </c>
      <c r="K50" s="116" t="s">
        <v>24</v>
      </c>
      <c r="L50" s="110" t="s">
        <v>27</v>
      </c>
      <c r="M50" s="117" t="s">
        <v>13</v>
      </c>
    </row>
    <row r="51" spans="1:13" x14ac:dyDescent="0.35">
      <c r="A51" s="110">
        <v>46</v>
      </c>
      <c r="B51" s="111">
        <v>46034</v>
      </c>
      <c r="C51" s="111">
        <v>46035</v>
      </c>
      <c r="D51" s="112">
        <v>0.83333333333333337</v>
      </c>
      <c r="E51" s="112">
        <v>0.33333333333333331</v>
      </c>
      <c r="F51" s="113">
        <v>264000</v>
      </c>
      <c r="G51" s="113">
        <f t="shared" si="0"/>
        <v>264000</v>
      </c>
      <c r="H51" s="114" t="s">
        <v>12</v>
      </c>
      <c r="I51" s="115">
        <v>987263331623</v>
      </c>
      <c r="J51" s="115">
        <v>926015400650320</v>
      </c>
      <c r="K51" s="116" t="s">
        <v>16</v>
      </c>
      <c r="L51" s="110" t="s">
        <v>27</v>
      </c>
      <c r="M51" s="117" t="s">
        <v>22</v>
      </c>
    </row>
    <row r="52" spans="1:13" x14ac:dyDescent="0.35">
      <c r="A52" s="110">
        <v>47</v>
      </c>
      <c r="B52" s="111">
        <v>46034</v>
      </c>
      <c r="C52" s="111">
        <v>46035</v>
      </c>
      <c r="D52" s="112">
        <v>0.83333333333333337</v>
      </c>
      <c r="E52" s="112">
        <v>0.33333333333333331</v>
      </c>
      <c r="F52" s="113">
        <v>498000</v>
      </c>
      <c r="G52" s="113">
        <f t="shared" si="0"/>
        <v>498000</v>
      </c>
      <c r="H52" s="114" t="s">
        <v>12</v>
      </c>
      <c r="I52" s="115">
        <v>987263331623</v>
      </c>
      <c r="J52" s="115">
        <v>926015400650320</v>
      </c>
      <c r="K52" s="116" t="s">
        <v>15</v>
      </c>
      <c r="L52" s="110" t="s">
        <v>27</v>
      </c>
      <c r="M52" s="117" t="s">
        <v>13</v>
      </c>
    </row>
    <row r="53" spans="1:13" x14ac:dyDescent="0.35">
      <c r="A53" s="110">
        <v>48</v>
      </c>
      <c r="B53" s="111">
        <v>46035</v>
      </c>
      <c r="C53" s="111">
        <v>46035</v>
      </c>
      <c r="D53" s="112">
        <v>0.33333333333333331</v>
      </c>
      <c r="E53" s="112">
        <v>0.83333333333333337</v>
      </c>
      <c r="F53" s="113">
        <v>205000</v>
      </c>
      <c r="G53" s="113">
        <f t="shared" si="0"/>
        <v>205000</v>
      </c>
      <c r="H53" s="114" t="s">
        <v>12</v>
      </c>
      <c r="I53" s="115">
        <v>987263339622</v>
      </c>
      <c r="J53" s="115">
        <v>926016401024066</v>
      </c>
      <c r="K53" s="116" t="s">
        <v>19</v>
      </c>
      <c r="L53" s="110" t="s">
        <v>27</v>
      </c>
      <c r="M53" s="117" t="s">
        <v>22</v>
      </c>
    </row>
    <row r="54" spans="1:13" x14ac:dyDescent="0.35">
      <c r="A54" s="110">
        <v>49</v>
      </c>
      <c r="B54" s="111">
        <v>46035</v>
      </c>
      <c r="C54" s="111">
        <v>46035</v>
      </c>
      <c r="D54" s="112">
        <v>0.33333333333333331</v>
      </c>
      <c r="E54" s="112">
        <v>0.83333333333333337</v>
      </c>
      <c r="F54" s="113">
        <v>1130000</v>
      </c>
      <c r="G54" s="113">
        <f t="shared" si="0"/>
        <v>1130000</v>
      </c>
      <c r="H54" s="114" t="s">
        <v>12</v>
      </c>
      <c r="I54" s="115">
        <v>987263339622</v>
      </c>
      <c r="J54" s="115">
        <v>926016401024066</v>
      </c>
      <c r="K54" s="116" t="s">
        <v>20</v>
      </c>
      <c r="L54" s="110" t="s">
        <v>27</v>
      </c>
      <c r="M54" s="117" t="s">
        <v>13</v>
      </c>
    </row>
    <row r="55" spans="1:13" x14ac:dyDescent="0.35">
      <c r="A55" s="110">
        <v>50</v>
      </c>
      <c r="B55" s="111">
        <v>46035</v>
      </c>
      <c r="C55" s="111">
        <v>46036</v>
      </c>
      <c r="D55" s="112">
        <v>0.83333333333333337</v>
      </c>
      <c r="E55" s="112">
        <v>0.33333333333333331</v>
      </c>
      <c r="F55" s="113">
        <v>100000</v>
      </c>
      <c r="G55" s="113">
        <f t="shared" si="0"/>
        <v>100000</v>
      </c>
      <c r="H55" s="114" t="s">
        <v>12</v>
      </c>
      <c r="I55" s="115">
        <v>987263339622</v>
      </c>
      <c r="J55" s="115">
        <v>926016401024066</v>
      </c>
      <c r="K55" s="116" t="s">
        <v>25</v>
      </c>
      <c r="L55" s="110" t="s">
        <v>27</v>
      </c>
      <c r="M55" s="117" t="s">
        <v>22</v>
      </c>
    </row>
    <row r="56" spans="1:13" x14ac:dyDescent="0.35">
      <c r="A56" s="110">
        <v>51</v>
      </c>
      <c r="B56" s="111">
        <v>46035</v>
      </c>
      <c r="C56" s="111">
        <v>46036</v>
      </c>
      <c r="D56" s="112">
        <v>0.83333333333333337</v>
      </c>
      <c r="E56" s="112">
        <v>0.33333333333333331</v>
      </c>
      <c r="F56" s="113">
        <v>500000</v>
      </c>
      <c r="G56" s="113">
        <f t="shared" si="0"/>
        <v>500000</v>
      </c>
      <c r="H56" s="114" t="s">
        <v>12</v>
      </c>
      <c r="I56" s="115">
        <v>987263339622</v>
      </c>
      <c r="J56" s="115">
        <v>926016401024066</v>
      </c>
      <c r="K56" s="116" t="s">
        <v>24</v>
      </c>
      <c r="L56" s="110" t="s">
        <v>27</v>
      </c>
      <c r="M56" s="117" t="s">
        <v>13</v>
      </c>
    </row>
    <row r="57" spans="1:13" x14ac:dyDescent="0.35">
      <c r="A57" s="110">
        <v>52</v>
      </c>
      <c r="B57" s="111">
        <v>46036</v>
      </c>
      <c r="C57" s="111">
        <v>46036</v>
      </c>
      <c r="D57" s="112">
        <v>0.33333333333333331</v>
      </c>
      <c r="E57" s="112">
        <v>0.83333333333333337</v>
      </c>
      <c r="F57" s="113">
        <v>335000</v>
      </c>
      <c r="G57" s="113">
        <f t="shared" si="0"/>
        <v>335000</v>
      </c>
      <c r="H57" s="114" t="s">
        <v>12</v>
      </c>
      <c r="I57" s="115">
        <v>987263357759</v>
      </c>
      <c r="J57" s="115">
        <v>926017401286523</v>
      </c>
      <c r="K57" s="116" t="s">
        <v>19</v>
      </c>
      <c r="L57" s="110" t="s">
        <v>27</v>
      </c>
      <c r="M57" s="117" t="s">
        <v>22</v>
      </c>
    </row>
    <row r="58" spans="1:13" x14ac:dyDescent="0.35">
      <c r="A58" s="110">
        <v>53</v>
      </c>
      <c r="B58" s="111">
        <v>46036</v>
      </c>
      <c r="C58" s="111">
        <v>46036</v>
      </c>
      <c r="D58" s="112">
        <v>0.33333333333333331</v>
      </c>
      <c r="E58" s="112">
        <v>0.83333333333333337</v>
      </c>
      <c r="F58" s="113">
        <v>1018000</v>
      </c>
      <c r="G58" s="113">
        <f t="shared" si="0"/>
        <v>1018000</v>
      </c>
      <c r="H58" s="114" t="s">
        <v>12</v>
      </c>
      <c r="I58" s="115">
        <v>987263357759</v>
      </c>
      <c r="J58" s="115">
        <v>926017401286523</v>
      </c>
      <c r="K58" s="116" t="s">
        <v>20</v>
      </c>
      <c r="L58" s="110" t="s">
        <v>27</v>
      </c>
      <c r="M58" s="117" t="s">
        <v>13</v>
      </c>
    </row>
    <row r="59" spans="1:13" x14ac:dyDescent="0.35">
      <c r="A59" s="110">
        <v>54</v>
      </c>
      <c r="B59" s="111">
        <v>46036</v>
      </c>
      <c r="C59" s="111">
        <v>46037</v>
      </c>
      <c r="D59" s="112">
        <v>0.83333333333333337</v>
      </c>
      <c r="E59" s="112">
        <v>0.33333333333333331</v>
      </c>
      <c r="F59" s="113">
        <v>155000</v>
      </c>
      <c r="G59" s="113">
        <f t="shared" si="0"/>
        <v>155000</v>
      </c>
      <c r="H59" s="114" t="s">
        <v>12</v>
      </c>
      <c r="I59" s="115">
        <v>987263357759</v>
      </c>
      <c r="J59" s="115">
        <v>926017401286523</v>
      </c>
      <c r="K59" s="116" t="s">
        <v>25</v>
      </c>
      <c r="L59" s="110" t="s">
        <v>27</v>
      </c>
      <c r="M59" s="117" t="s">
        <v>22</v>
      </c>
    </row>
    <row r="60" spans="1:13" x14ac:dyDescent="0.35">
      <c r="A60" s="110">
        <v>55</v>
      </c>
      <c r="B60" s="111">
        <v>46036</v>
      </c>
      <c r="C60" s="111">
        <v>46037</v>
      </c>
      <c r="D60" s="112">
        <v>0.83333333333333337</v>
      </c>
      <c r="E60" s="112">
        <v>0.33333333333333331</v>
      </c>
      <c r="F60" s="113">
        <v>462000</v>
      </c>
      <c r="G60" s="113">
        <f t="shared" si="0"/>
        <v>462000</v>
      </c>
      <c r="H60" s="114" t="s">
        <v>12</v>
      </c>
      <c r="I60" s="115">
        <v>987263357759</v>
      </c>
      <c r="J60" s="115">
        <v>926017401286523</v>
      </c>
      <c r="K60" s="116" t="s">
        <v>24</v>
      </c>
      <c r="L60" s="110" t="s">
        <v>27</v>
      </c>
      <c r="M60" s="117" t="s">
        <v>13</v>
      </c>
    </row>
    <row r="61" spans="1:13" x14ac:dyDescent="0.35">
      <c r="A61" s="110">
        <v>56</v>
      </c>
      <c r="B61" s="111">
        <v>46037</v>
      </c>
      <c r="C61" s="111">
        <v>46037</v>
      </c>
      <c r="D61" s="112">
        <v>0.33333333333333331</v>
      </c>
      <c r="E61" s="112">
        <v>0.83333333333333337</v>
      </c>
      <c r="F61" s="113">
        <v>270000</v>
      </c>
      <c r="G61" s="113">
        <f t="shared" si="0"/>
        <v>270000</v>
      </c>
      <c r="H61" s="114" t="s">
        <v>12</v>
      </c>
      <c r="I61" s="115">
        <v>987263357769</v>
      </c>
      <c r="J61" s="115">
        <v>926019401615431</v>
      </c>
      <c r="K61" s="116" t="s">
        <v>16</v>
      </c>
      <c r="L61" s="110" t="s">
        <v>27</v>
      </c>
      <c r="M61" s="117" t="s">
        <v>22</v>
      </c>
    </row>
    <row r="62" spans="1:13" x14ac:dyDescent="0.35">
      <c r="A62" s="110">
        <v>57</v>
      </c>
      <c r="B62" s="111">
        <v>46037</v>
      </c>
      <c r="C62" s="111">
        <v>46037</v>
      </c>
      <c r="D62" s="112">
        <v>0.33333333333333331</v>
      </c>
      <c r="E62" s="112">
        <v>0.83333333333333337</v>
      </c>
      <c r="F62" s="113">
        <v>1048000</v>
      </c>
      <c r="G62" s="113">
        <f t="shared" si="0"/>
        <v>1048000</v>
      </c>
      <c r="H62" s="114" t="s">
        <v>12</v>
      </c>
      <c r="I62" s="115">
        <v>987263357769</v>
      </c>
      <c r="J62" s="115">
        <v>926019401615431</v>
      </c>
      <c r="K62" s="116" t="s">
        <v>15</v>
      </c>
      <c r="L62" s="110" t="s">
        <v>27</v>
      </c>
      <c r="M62" s="117" t="s">
        <v>13</v>
      </c>
    </row>
    <row r="63" spans="1:13" x14ac:dyDescent="0.35">
      <c r="A63" s="110">
        <v>58</v>
      </c>
      <c r="B63" s="111">
        <v>46037</v>
      </c>
      <c r="C63" s="111">
        <v>46038</v>
      </c>
      <c r="D63" s="112">
        <v>0.83333333333333337</v>
      </c>
      <c r="E63" s="112">
        <v>0.33333333333333331</v>
      </c>
      <c r="F63" s="113">
        <v>140000</v>
      </c>
      <c r="G63" s="113">
        <f t="shared" si="0"/>
        <v>140000</v>
      </c>
      <c r="H63" s="114" t="s">
        <v>12</v>
      </c>
      <c r="I63" s="115">
        <v>987263357769</v>
      </c>
      <c r="J63" s="115">
        <v>926019401615431</v>
      </c>
      <c r="K63" s="116" t="s">
        <v>19</v>
      </c>
      <c r="L63" s="110" t="s">
        <v>27</v>
      </c>
      <c r="M63" s="117" t="s">
        <v>141</v>
      </c>
    </row>
    <row r="64" spans="1:13" x14ac:dyDescent="0.35">
      <c r="A64" s="110">
        <v>59</v>
      </c>
      <c r="B64" s="111">
        <v>46037</v>
      </c>
      <c r="C64" s="111">
        <v>46038</v>
      </c>
      <c r="D64" s="112">
        <v>0.83333333333333337</v>
      </c>
      <c r="E64" s="112">
        <v>0.33333333333333331</v>
      </c>
      <c r="F64" s="113">
        <v>491000</v>
      </c>
      <c r="G64" s="113">
        <f t="shared" si="0"/>
        <v>491000</v>
      </c>
      <c r="H64" s="114" t="s">
        <v>12</v>
      </c>
      <c r="I64" s="115">
        <v>987263357769</v>
      </c>
      <c r="J64" s="115">
        <v>926019401615431</v>
      </c>
      <c r="K64" s="116" t="s">
        <v>20</v>
      </c>
      <c r="L64" s="110" t="s">
        <v>27</v>
      </c>
      <c r="M64" s="117" t="s">
        <v>13</v>
      </c>
    </row>
    <row r="65" spans="1:13" x14ac:dyDescent="0.35">
      <c r="A65" s="110">
        <v>60</v>
      </c>
      <c r="B65" s="111">
        <v>46038</v>
      </c>
      <c r="C65" s="111">
        <v>46038</v>
      </c>
      <c r="D65" s="112">
        <v>0.33333333333333331</v>
      </c>
      <c r="E65" s="112">
        <v>0.83333333333333337</v>
      </c>
      <c r="F65" s="113">
        <v>319000</v>
      </c>
      <c r="G65" s="113">
        <f t="shared" si="0"/>
        <v>319000</v>
      </c>
      <c r="H65" s="114" t="s">
        <v>12</v>
      </c>
      <c r="I65" s="115">
        <v>987263377234</v>
      </c>
      <c r="J65" s="115">
        <v>926020401996427</v>
      </c>
      <c r="K65" s="116" t="s">
        <v>16</v>
      </c>
      <c r="L65" s="110" t="s">
        <v>27</v>
      </c>
      <c r="M65" s="117" t="s">
        <v>22</v>
      </c>
    </row>
    <row r="66" spans="1:13" x14ac:dyDescent="0.35">
      <c r="A66" s="110">
        <v>61</v>
      </c>
      <c r="B66" s="111">
        <v>46038</v>
      </c>
      <c r="C66" s="111">
        <v>46038</v>
      </c>
      <c r="D66" s="112">
        <v>0.33333333333333331</v>
      </c>
      <c r="E66" s="112">
        <v>0.83333333333333337</v>
      </c>
      <c r="F66" s="113">
        <v>1262000</v>
      </c>
      <c r="G66" s="113">
        <f t="shared" ref="G66:G128" si="1">SUM(F66)</f>
        <v>1262000</v>
      </c>
      <c r="H66" s="114" t="s">
        <v>12</v>
      </c>
      <c r="I66" s="115">
        <v>987263377234</v>
      </c>
      <c r="J66" s="115">
        <v>926020401996427</v>
      </c>
      <c r="K66" s="116" t="s">
        <v>15</v>
      </c>
      <c r="L66" s="110" t="s">
        <v>27</v>
      </c>
      <c r="M66" s="117" t="s">
        <v>13</v>
      </c>
    </row>
    <row r="67" spans="1:13" x14ac:dyDescent="0.35">
      <c r="A67" s="110">
        <v>62</v>
      </c>
      <c r="B67" s="111">
        <v>46038</v>
      </c>
      <c r="C67" s="111">
        <v>46039</v>
      </c>
      <c r="D67" s="112">
        <v>0.83333333333333337</v>
      </c>
      <c r="E67" s="112">
        <v>0.33333333333333331</v>
      </c>
      <c r="F67" s="113">
        <v>85000</v>
      </c>
      <c r="G67" s="113">
        <f t="shared" si="1"/>
        <v>85000</v>
      </c>
      <c r="H67" s="114" t="s">
        <v>12</v>
      </c>
      <c r="I67" s="115">
        <v>987263377234</v>
      </c>
      <c r="J67" s="115">
        <v>926020401996427</v>
      </c>
      <c r="K67" s="116" t="s">
        <v>19</v>
      </c>
      <c r="L67" s="110" t="s">
        <v>27</v>
      </c>
      <c r="M67" s="117" t="s">
        <v>22</v>
      </c>
    </row>
    <row r="68" spans="1:13" x14ac:dyDescent="0.35">
      <c r="A68" s="110">
        <v>63</v>
      </c>
      <c r="B68" s="111">
        <v>46038</v>
      </c>
      <c r="C68" s="111">
        <v>46039</v>
      </c>
      <c r="D68" s="112">
        <v>0.83333333333333337</v>
      </c>
      <c r="E68" s="112">
        <v>0.33333333333333331</v>
      </c>
      <c r="F68" s="113">
        <v>627000</v>
      </c>
      <c r="G68" s="113">
        <f t="shared" si="1"/>
        <v>627000</v>
      </c>
      <c r="H68" s="114" t="s">
        <v>12</v>
      </c>
      <c r="I68" s="115">
        <v>987263377234</v>
      </c>
      <c r="J68" s="115">
        <v>926020401996427</v>
      </c>
      <c r="K68" s="116" t="s">
        <v>20</v>
      </c>
      <c r="L68" s="110" t="s">
        <v>27</v>
      </c>
      <c r="M68" s="117" t="s">
        <v>13</v>
      </c>
    </row>
    <row r="69" spans="1:13" x14ac:dyDescent="0.35">
      <c r="A69" s="110">
        <v>64</v>
      </c>
      <c r="B69" s="111">
        <v>46039</v>
      </c>
      <c r="C69" s="111">
        <v>46039</v>
      </c>
      <c r="D69" s="112">
        <v>0.33333333333333331</v>
      </c>
      <c r="E69" s="112">
        <v>0.83333333333333337</v>
      </c>
      <c r="F69" s="113">
        <v>228000</v>
      </c>
      <c r="G69" s="113">
        <f t="shared" si="1"/>
        <v>228000</v>
      </c>
      <c r="H69" s="114" t="s">
        <v>12</v>
      </c>
      <c r="I69" s="115">
        <v>987263377239</v>
      </c>
      <c r="J69" s="115">
        <v>926020401994824</v>
      </c>
      <c r="K69" s="116" t="s">
        <v>25</v>
      </c>
      <c r="L69" s="110" t="s">
        <v>27</v>
      </c>
      <c r="M69" s="117" t="s">
        <v>22</v>
      </c>
    </row>
    <row r="70" spans="1:13" x14ac:dyDescent="0.35">
      <c r="A70" s="110">
        <v>65</v>
      </c>
      <c r="B70" s="111">
        <v>46039</v>
      </c>
      <c r="C70" s="111">
        <v>46039</v>
      </c>
      <c r="D70" s="112">
        <v>0.33333333333333331</v>
      </c>
      <c r="E70" s="112">
        <v>0.83333333333333337</v>
      </c>
      <c r="F70" s="113">
        <v>1263000</v>
      </c>
      <c r="G70" s="113">
        <f t="shared" si="1"/>
        <v>1263000</v>
      </c>
      <c r="H70" s="114" t="s">
        <v>12</v>
      </c>
      <c r="I70" s="115">
        <v>987263377239</v>
      </c>
      <c r="J70" s="115">
        <v>926020401994824</v>
      </c>
      <c r="K70" s="116" t="s">
        <v>24</v>
      </c>
      <c r="L70" s="110" t="s">
        <v>27</v>
      </c>
      <c r="M70" s="117" t="s">
        <v>13</v>
      </c>
    </row>
    <row r="71" spans="1:13" x14ac:dyDescent="0.35">
      <c r="A71" s="110">
        <v>66</v>
      </c>
      <c r="B71" s="111">
        <v>46039</v>
      </c>
      <c r="C71" s="111">
        <v>46040</v>
      </c>
      <c r="D71" s="112">
        <v>0.83333333333333337</v>
      </c>
      <c r="E71" s="112">
        <v>0.33333333333333331</v>
      </c>
      <c r="F71" s="113">
        <v>180000</v>
      </c>
      <c r="G71" s="113">
        <f t="shared" si="1"/>
        <v>180000</v>
      </c>
      <c r="H71" s="114" t="s">
        <v>12</v>
      </c>
      <c r="I71" s="115">
        <v>987263377239</v>
      </c>
      <c r="J71" s="115">
        <v>926020401994824</v>
      </c>
      <c r="K71" s="116" t="s">
        <v>16</v>
      </c>
      <c r="L71" s="110" t="s">
        <v>27</v>
      </c>
      <c r="M71" s="117" t="s">
        <v>22</v>
      </c>
    </row>
    <row r="72" spans="1:13" x14ac:dyDescent="0.35">
      <c r="A72" s="110">
        <v>67</v>
      </c>
      <c r="B72" s="111">
        <v>46039</v>
      </c>
      <c r="C72" s="111">
        <v>46040</v>
      </c>
      <c r="D72" s="112">
        <v>0.83333333333333337</v>
      </c>
      <c r="E72" s="112">
        <v>0.33333333333333331</v>
      </c>
      <c r="F72" s="113">
        <v>649000</v>
      </c>
      <c r="G72" s="113">
        <f t="shared" si="1"/>
        <v>649000</v>
      </c>
      <c r="H72" s="114" t="s">
        <v>12</v>
      </c>
      <c r="I72" s="115">
        <v>987263377239</v>
      </c>
      <c r="J72" s="115">
        <v>926020401994824</v>
      </c>
      <c r="K72" s="116" t="s">
        <v>15</v>
      </c>
      <c r="L72" s="110" t="s">
        <v>27</v>
      </c>
      <c r="M72" s="117" t="s">
        <v>13</v>
      </c>
    </row>
    <row r="73" spans="1:13" x14ac:dyDescent="0.35">
      <c r="A73" s="110">
        <v>68</v>
      </c>
      <c r="B73" s="111">
        <v>46040</v>
      </c>
      <c r="C73" s="111">
        <v>46040</v>
      </c>
      <c r="D73" s="112">
        <v>0.33333333333333331</v>
      </c>
      <c r="E73" s="112">
        <v>0.83333333333333337</v>
      </c>
      <c r="F73" s="113">
        <v>426000</v>
      </c>
      <c r="G73" s="113">
        <f t="shared" si="1"/>
        <v>426000</v>
      </c>
      <c r="H73" s="114" t="s">
        <v>12</v>
      </c>
      <c r="I73" s="115">
        <v>987263377256</v>
      </c>
      <c r="J73" s="115">
        <v>926020402700506</v>
      </c>
      <c r="K73" s="116" t="s">
        <v>25</v>
      </c>
      <c r="L73" s="110" t="s">
        <v>27</v>
      </c>
      <c r="M73" s="117" t="s">
        <v>22</v>
      </c>
    </row>
    <row r="74" spans="1:13" x14ac:dyDescent="0.35">
      <c r="A74" s="110">
        <v>69</v>
      </c>
      <c r="B74" s="111">
        <v>46040</v>
      </c>
      <c r="C74" s="111">
        <v>46040</v>
      </c>
      <c r="D74" s="112">
        <v>0.33333333333333331</v>
      </c>
      <c r="E74" s="112">
        <v>0.83333333333333337</v>
      </c>
      <c r="F74" s="113">
        <v>1167000</v>
      </c>
      <c r="G74" s="113">
        <f t="shared" si="1"/>
        <v>1167000</v>
      </c>
      <c r="H74" s="114" t="s">
        <v>12</v>
      </c>
      <c r="I74" s="115">
        <v>987263377256</v>
      </c>
      <c r="J74" s="115">
        <v>926020402700506</v>
      </c>
      <c r="K74" s="116" t="s">
        <v>24</v>
      </c>
      <c r="L74" s="110" t="s">
        <v>27</v>
      </c>
      <c r="M74" s="117" t="s">
        <v>13</v>
      </c>
    </row>
    <row r="75" spans="1:13" x14ac:dyDescent="0.35">
      <c r="A75" s="110">
        <v>70</v>
      </c>
      <c r="B75" s="111">
        <v>46040</v>
      </c>
      <c r="C75" s="111">
        <v>46041</v>
      </c>
      <c r="D75" s="112">
        <v>0.83333333333333337</v>
      </c>
      <c r="E75" s="112">
        <v>0.33333333333333331</v>
      </c>
      <c r="F75" s="113">
        <v>358000</v>
      </c>
      <c r="G75" s="113">
        <f t="shared" si="1"/>
        <v>358000</v>
      </c>
      <c r="H75" s="114" t="s">
        <v>12</v>
      </c>
      <c r="I75" s="115">
        <v>987263377256</v>
      </c>
      <c r="J75" s="115">
        <v>926020402700506</v>
      </c>
      <c r="K75" s="116" t="s">
        <v>16</v>
      </c>
      <c r="L75" s="110" t="s">
        <v>27</v>
      </c>
      <c r="M75" s="117" t="s">
        <v>22</v>
      </c>
    </row>
    <row r="76" spans="1:13" x14ac:dyDescent="0.35">
      <c r="A76" s="110">
        <v>71</v>
      </c>
      <c r="B76" s="111">
        <v>46040</v>
      </c>
      <c r="C76" s="111">
        <v>46041</v>
      </c>
      <c r="D76" s="112">
        <v>0.83333333333333337</v>
      </c>
      <c r="E76" s="112">
        <v>0.33333333333333331</v>
      </c>
      <c r="F76" s="113">
        <v>687000</v>
      </c>
      <c r="G76" s="113">
        <f t="shared" si="1"/>
        <v>687000</v>
      </c>
      <c r="H76" s="114" t="s">
        <v>12</v>
      </c>
      <c r="I76" s="115">
        <v>987263377256</v>
      </c>
      <c r="J76" s="115">
        <v>926020402700506</v>
      </c>
      <c r="K76" s="116" t="s">
        <v>15</v>
      </c>
      <c r="L76" s="110" t="s">
        <v>27</v>
      </c>
      <c r="M76" s="117" t="s">
        <v>13</v>
      </c>
    </row>
    <row r="77" spans="1:13" x14ac:dyDescent="0.35">
      <c r="A77" s="110">
        <v>72</v>
      </c>
      <c r="B77" s="111">
        <v>46041</v>
      </c>
      <c r="C77" s="111">
        <v>46041</v>
      </c>
      <c r="D77" s="112">
        <v>0.33333333333333331</v>
      </c>
      <c r="E77" s="112">
        <v>0.83333333333333337</v>
      </c>
      <c r="F77" s="113">
        <v>366000</v>
      </c>
      <c r="G77" s="113">
        <f t="shared" si="1"/>
        <v>366000</v>
      </c>
      <c r="H77" s="114" t="s">
        <v>12</v>
      </c>
      <c r="I77" s="115">
        <v>987263386216</v>
      </c>
      <c r="J77" s="115">
        <v>926020402700688</v>
      </c>
      <c r="K77" s="116" t="s">
        <v>19</v>
      </c>
      <c r="L77" s="110" t="s">
        <v>27</v>
      </c>
      <c r="M77" s="117" t="s">
        <v>22</v>
      </c>
    </row>
    <row r="78" spans="1:13" x14ac:dyDescent="0.35">
      <c r="A78" s="110">
        <v>73</v>
      </c>
      <c r="B78" s="111">
        <v>46041</v>
      </c>
      <c r="C78" s="111">
        <v>46041</v>
      </c>
      <c r="D78" s="112">
        <v>0.33333333333333331</v>
      </c>
      <c r="E78" s="112">
        <v>0.83333333333333337</v>
      </c>
      <c r="F78" s="113">
        <v>1001000</v>
      </c>
      <c r="G78" s="113">
        <f t="shared" si="1"/>
        <v>1001000</v>
      </c>
      <c r="H78" s="114" t="s">
        <v>12</v>
      </c>
      <c r="I78" s="115">
        <v>987263386216</v>
      </c>
      <c r="J78" s="115">
        <v>926020402700688</v>
      </c>
      <c r="K78" s="116" t="s">
        <v>20</v>
      </c>
      <c r="L78" s="110" t="s">
        <v>27</v>
      </c>
      <c r="M78" s="117" t="s">
        <v>13</v>
      </c>
    </row>
    <row r="79" spans="1:13" x14ac:dyDescent="0.35">
      <c r="A79" s="110">
        <v>74</v>
      </c>
      <c r="B79" s="111">
        <v>46041</v>
      </c>
      <c r="C79" s="111">
        <v>46042</v>
      </c>
      <c r="D79" s="112">
        <v>0.83333333333333337</v>
      </c>
      <c r="E79" s="112">
        <v>0.33333333333333331</v>
      </c>
      <c r="F79" s="113">
        <v>102000</v>
      </c>
      <c r="G79" s="113">
        <f t="shared" si="1"/>
        <v>102000</v>
      </c>
      <c r="H79" s="114" t="s">
        <v>12</v>
      </c>
      <c r="I79" s="115">
        <v>987263386216</v>
      </c>
      <c r="J79" s="115">
        <v>926020402700688</v>
      </c>
      <c r="K79" s="116" t="s">
        <v>25</v>
      </c>
      <c r="L79" s="110" t="s">
        <v>27</v>
      </c>
      <c r="M79" s="117" t="s">
        <v>22</v>
      </c>
    </row>
    <row r="80" spans="1:13" x14ac:dyDescent="0.35">
      <c r="A80" s="110">
        <v>75</v>
      </c>
      <c r="B80" s="111">
        <v>46041</v>
      </c>
      <c r="C80" s="111">
        <v>46042</v>
      </c>
      <c r="D80" s="112">
        <v>0.83333333333333337</v>
      </c>
      <c r="E80" s="112">
        <v>0.33333333333333331</v>
      </c>
      <c r="F80" s="113">
        <v>340000</v>
      </c>
      <c r="G80" s="113">
        <f t="shared" si="1"/>
        <v>340000</v>
      </c>
      <c r="H80" s="114" t="s">
        <v>12</v>
      </c>
      <c r="I80" s="115">
        <v>987263386216</v>
      </c>
      <c r="J80" s="115">
        <v>926020402700688</v>
      </c>
      <c r="K80" s="116" t="s">
        <v>24</v>
      </c>
      <c r="L80" s="110" t="s">
        <v>27</v>
      </c>
      <c r="M80" s="117" t="s">
        <v>13</v>
      </c>
    </row>
    <row r="81" spans="1:13" x14ac:dyDescent="0.35">
      <c r="A81" s="110">
        <v>76</v>
      </c>
      <c r="B81" s="111">
        <v>46042</v>
      </c>
      <c r="C81" s="111">
        <v>46042</v>
      </c>
      <c r="D81" s="112">
        <v>0.33333333333333331</v>
      </c>
      <c r="E81" s="112">
        <v>0.83333333333333337</v>
      </c>
      <c r="F81" s="113">
        <v>160000</v>
      </c>
      <c r="G81" s="113">
        <f t="shared" si="1"/>
        <v>160000</v>
      </c>
      <c r="H81" s="114" t="s">
        <v>12</v>
      </c>
      <c r="I81" s="115">
        <v>987263398143</v>
      </c>
      <c r="J81" s="115">
        <v>926023403118645</v>
      </c>
      <c r="K81" s="116" t="s">
        <v>19</v>
      </c>
      <c r="L81" s="110" t="s">
        <v>27</v>
      </c>
      <c r="M81" s="117" t="s">
        <v>22</v>
      </c>
    </row>
    <row r="82" spans="1:13" x14ac:dyDescent="0.35">
      <c r="A82" s="110">
        <v>77</v>
      </c>
      <c r="B82" s="111">
        <v>46042</v>
      </c>
      <c r="C82" s="111">
        <v>46042</v>
      </c>
      <c r="D82" s="112">
        <v>0.33333333333333331</v>
      </c>
      <c r="E82" s="112">
        <v>0.83333333333333337</v>
      </c>
      <c r="F82" s="113">
        <v>919000</v>
      </c>
      <c r="G82" s="113">
        <f t="shared" si="1"/>
        <v>919000</v>
      </c>
      <c r="H82" s="114" t="s">
        <v>12</v>
      </c>
      <c r="I82" s="115">
        <v>987263398143</v>
      </c>
      <c r="J82" s="115">
        <v>926023403118645</v>
      </c>
      <c r="K82" s="116" t="s">
        <v>20</v>
      </c>
      <c r="L82" s="110" t="s">
        <v>27</v>
      </c>
      <c r="M82" s="117" t="s">
        <v>13</v>
      </c>
    </row>
    <row r="83" spans="1:13" x14ac:dyDescent="0.35">
      <c r="A83" s="110">
        <v>78</v>
      </c>
      <c r="B83" s="111">
        <v>46042</v>
      </c>
      <c r="C83" s="111">
        <v>46043</v>
      </c>
      <c r="D83" s="112">
        <v>0.83333333333333337</v>
      </c>
      <c r="E83" s="112">
        <v>0.33333333333333331</v>
      </c>
      <c r="F83" s="113">
        <v>183000</v>
      </c>
      <c r="G83" s="113">
        <f t="shared" si="1"/>
        <v>183000</v>
      </c>
      <c r="H83" s="114" t="s">
        <v>12</v>
      </c>
      <c r="I83" s="115">
        <v>987263398143</v>
      </c>
      <c r="J83" s="115">
        <v>926023403118645</v>
      </c>
      <c r="K83" s="116" t="s">
        <v>25</v>
      </c>
      <c r="L83" s="110" t="s">
        <v>27</v>
      </c>
      <c r="M83" s="117" t="s">
        <v>22</v>
      </c>
    </row>
    <row r="84" spans="1:13" x14ac:dyDescent="0.35">
      <c r="A84" s="110">
        <v>79</v>
      </c>
      <c r="B84" s="111">
        <v>46042</v>
      </c>
      <c r="C84" s="111">
        <v>46043</v>
      </c>
      <c r="D84" s="112">
        <v>0.83333333333333337</v>
      </c>
      <c r="E84" s="112">
        <v>0.33333333333333331</v>
      </c>
      <c r="F84" s="113">
        <v>524000</v>
      </c>
      <c r="G84" s="113">
        <f t="shared" si="1"/>
        <v>524000</v>
      </c>
      <c r="H84" s="114" t="s">
        <v>12</v>
      </c>
      <c r="I84" s="115">
        <v>987263398143</v>
      </c>
      <c r="J84" s="115">
        <v>926023403118645</v>
      </c>
      <c r="K84" s="116" t="s">
        <v>24</v>
      </c>
      <c r="L84" s="110" t="s">
        <v>27</v>
      </c>
      <c r="M84" s="117" t="s">
        <v>13</v>
      </c>
    </row>
    <row r="85" spans="1:13" x14ac:dyDescent="0.35">
      <c r="A85" s="110">
        <v>80</v>
      </c>
      <c r="B85" s="111">
        <v>46043</v>
      </c>
      <c r="C85" s="111">
        <v>46043</v>
      </c>
      <c r="D85" s="112">
        <v>0.33333333333333331</v>
      </c>
      <c r="E85" s="112">
        <v>0.83333333333333337</v>
      </c>
      <c r="F85" s="113">
        <v>304000</v>
      </c>
      <c r="G85" s="113">
        <f>SUM(F85)</f>
        <v>304000</v>
      </c>
      <c r="H85" s="114" t="s">
        <v>12</v>
      </c>
      <c r="I85" s="115">
        <v>987263408016</v>
      </c>
      <c r="J85" s="115">
        <v>926024403460767</v>
      </c>
      <c r="K85" s="116" t="s">
        <v>16</v>
      </c>
      <c r="L85" s="110" t="s">
        <v>27</v>
      </c>
      <c r="M85" s="117" t="s">
        <v>22</v>
      </c>
    </row>
    <row r="86" spans="1:13" x14ac:dyDescent="0.35">
      <c r="A86" s="110">
        <v>81</v>
      </c>
      <c r="B86" s="111">
        <v>46043</v>
      </c>
      <c r="C86" s="111">
        <v>46043</v>
      </c>
      <c r="D86" s="112">
        <v>0.33333333333333331</v>
      </c>
      <c r="E86" s="112">
        <v>0.83333333333333337</v>
      </c>
      <c r="F86" s="113">
        <v>304000</v>
      </c>
      <c r="G86" s="113">
        <v>874000</v>
      </c>
      <c r="H86" s="114" t="s">
        <v>12</v>
      </c>
      <c r="I86" s="115">
        <v>987263408016</v>
      </c>
      <c r="J86" s="115">
        <v>926024403460767</v>
      </c>
      <c r="K86" s="116" t="s">
        <v>15</v>
      </c>
      <c r="L86" s="110" t="s">
        <v>27</v>
      </c>
      <c r="M86" s="117" t="s">
        <v>13</v>
      </c>
    </row>
    <row r="87" spans="1:13" x14ac:dyDescent="0.35">
      <c r="A87" s="110">
        <v>82</v>
      </c>
      <c r="B87" s="111">
        <v>46043</v>
      </c>
      <c r="C87" s="111">
        <v>46044</v>
      </c>
      <c r="D87" s="112">
        <v>0.83333333333333337</v>
      </c>
      <c r="E87" s="112">
        <v>0.33333333333333331</v>
      </c>
      <c r="F87" s="113">
        <v>123000</v>
      </c>
      <c r="G87" s="113">
        <f t="shared" si="1"/>
        <v>123000</v>
      </c>
      <c r="H87" s="114" t="s">
        <v>12</v>
      </c>
      <c r="I87" s="115">
        <v>987263408016</v>
      </c>
      <c r="J87" s="115">
        <v>926024403460767</v>
      </c>
      <c r="K87" s="116" t="s">
        <v>19</v>
      </c>
      <c r="L87" s="110" t="s">
        <v>27</v>
      </c>
      <c r="M87" s="117" t="s">
        <v>22</v>
      </c>
    </row>
    <row r="88" spans="1:13" x14ac:dyDescent="0.35">
      <c r="A88" s="110">
        <v>83</v>
      </c>
      <c r="B88" s="111">
        <v>46043</v>
      </c>
      <c r="C88" s="111">
        <v>46044</v>
      </c>
      <c r="D88" s="112">
        <v>0.83333333333333337</v>
      </c>
      <c r="E88" s="112">
        <v>0.33333333333333331</v>
      </c>
      <c r="F88" s="113">
        <v>488000</v>
      </c>
      <c r="G88" s="113">
        <f t="shared" si="1"/>
        <v>488000</v>
      </c>
      <c r="H88" s="114" t="s">
        <v>12</v>
      </c>
      <c r="I88" s="115">
        <v>987263408016</v>
      </c>
      <c r="J88" s="115">
        <v>926024403460767</v>
      </c>
      <c r="K88" s="116" t="s">
        <v>20</v>
      </c>
      <c r="L88" s="110" t="s">
        <v>27</v>
      </c>
      <c r="M88" s="117" t="s">
        <v>13</v>
      </c>
    </row>
    <row r="89" spans="1:13" x14ac:dyDescent="0.35">
      <c r="A89" s="110">
        <v>84</v>
      </c>
      <c r="B89" s="111">
        <v>46044</v>
      </c>
      <c r="C89" s="111">
        <v>46044</v>
      </c>
      <c r="D89" s="112">
        <v>0.33333333333333331</v>
      </c>
      <c r="E89" s="112">
        <v>0.83333333333333337</v>
      </c>
      <c r="F89" s="113">
        <v>288000</v>
      </c>
      <c r="G89" s="113">
        <f t="shared" si="1"/>
        <v>288000</v>
      </c>
      <c r="H89" s="114" t="s">
        <v>12</v>
      </c>
      <c r="I89" s="115">
        <v>987263417893</v>
      </c>
      <c r="J89" s="115">
        <v>926026403947187</v>
      </c>
      <c r="K89" s="116" t="s">
        <v>16</v>
      </c>
      <c r="L89" s="110" t="s">
        <v>27</v>
      </c>
      <c r="M89" s="117" t="s">
        <v>22</v>
      </c>
    </row>
    <row r="90" spans="1:13" x14ac:dyDescent="0.35">
      <c r="A90" s="110">
        <v>85</v>
      </c>
      <c r="B90" s="111">
        <v>46044</v>
      </c>
      <c r="C90" s="111">
        <v>46044</v>
      </c>
      <c r="D90" s="112">
        <v>0.33333333333333331</v>
      </c>
      <c r="E90" s="112">
        <v>0.83333333333333337</v>
      </c>
      <c r="F90" s="113">
        <v>928000</v>
      </c>
      <c r="G90" s="113">
        <f t="shared" si="1"/>
        <v>928000</v>
      </c>
      <c r="H90" s="114" t="s">
        <v>12</v>
      </c>
      <c r="I90" s="115">
        <v>987263417893</v>
      </c>
      <c r="J90" s="115">
        <v>926026403947187</v>
      </c>
      <c r="K90" s="116" t="s">
        <v>15</v>
      </c>
      <c r="L90" s="110" t="s">
        <v>27</v>
      </c>
      <c r="M90" s="117" t="s">
        <v>13</v>
      </c>
    </row>
    <row r="91" spans="1:13" x14ac:dyDescent="0.35">
      <c r="A91" s="110">
        <v>86</v>
      </c>
      <c r="B91" s="111">
        <v>46044</v>
      </c>
      <c r="C91" s="111">
        <v>46045</v>
      </c>
      <c r="D91" s="112">
        <v>0.83333333333333337</v>
      </c>
      <c r="E91" s="112">
        <v>0.33333333333333331</v>
      </c>
      <c r="F91" s="113">
        <v>185000</v>
      </c>
      <c r="G91" s="113">
        <f t="shared" si="1"/>
        <v>185000</v>
      </c>
      <c r="H91" s="114" t="s">
        <v>12</v>
      </c>
      <c r="I91" s="115">
        <v>987263417893</v>
      </c>
      <c r="J91" s="115">
        <v>926026403947187</v>
      </c>
      <c r="K91" s="116" t="s">
        <v>19</v>
      </c>
      <c r="L91" s="110" t="s">
        <v>27</v>
      </c>
      <c r="M91" s="117" t="s">
        <v>22</v>
      </c>
    </row>
    <row r="92" spans="1:13" x14ac:dyDescent="0.35">
      <c r="A92" s="110">
        <v>87</v>
      </c>
      <c r="B92" s="111">
        <v>46044</v>
      </c>
      <c r="C92" s="111">
        <v>46045</v>
      </c>
      <c r="D92" s="112">
        <v>0.83333333333333337</v>
      </c>
      <c r="E92" s="112">
        <v>0.33333333333333331</v>
      </c>
      <c r="F92" s="113">
        <v>462000</v>
      </c>
      <c r="G92" s="113">
        <f t="shared" si="1"/>
        <v>462000</v>
      </c>
      <c r="H92" s="114" t="s">
        <v>12</v>
      </c>
      <c r="I92" s="115">
        <v>987263417893</v>
      </c>
      <c r="J92" s="115">
        <v>926026403947187</v>
      </c>
      <c r="K92" s="116" t="s">
        <v>20</v>
      </c>
      <c r="L92" s="110" t="s">
        <v>27</v>
      </c>
      <c r="M92" s="117" t="s">
        <v>13</v>
      </c>
    </row>
    <row r="93" spans="1:13" x14ac:dyDescent="0.35">
      <c r="A93" s="110">
        <v>88</v>
      </c>
      <c r="B93" s="111">
        <v>46045</v>
      </c>
      <c r="C93" s="111">
        <v>46045</v>
      </c>
      <c r="D93" s="112">
        <v>0.33333333333333331</v>
      </c>
      <c r="E93" s="112">
        <v>0.83333333333333337</v>
      </c>
      <c r="F93" s="113">
        <v>268000</v>
      </c>
      <c r="G93" s="113">
        <f t="shared" si="1"/>
        <v>268000</v>
      </c>
      <c r="H93" s="114" t="s">
        <v>12</v>
      </c>
      <c r="I93" s="115">
        <v>987263439248</v>
      </c>
      <c r="J93" s="115">
        <v>926027404283963</v>
      </c>
      <c r="K93" s="116" t="s">
        <v>25</v>
      </c>
      <c r="L93" s="110" t="s">
        <v>27</v>
      </c>
      <c r="M93" s="117" t="s">
        <v>22</v>
      </c>
    </row>
    <row r="94" spans="1:13" x14ac:dyDescent="0.35">
      <c r="A94" s="110">
        <v>89</v>
      </c>
      <c r="B94" s="111">
        <v>46045</v>
      </c>
      <c r="C94" s="111">
        <v>46045</v>
      </c>
      <c r="D94" s="112">
        <v>0.33333333333333331</v>
      </c>
      <c r="E94" s="112">
        <v>0.83333333333333337</v>
      </c>
      <c r="F94" s="113">
        <v>1199000</v>
      </c>
      <c r="G94" s="113">
        <f t="shared" si="1"/>
        <v>1199000</v>
      </c>
      <c r="H94" s="114" t="s">
        <v>12</v>
      </c>
      <c r="I94" s="115">
        <v>987263439248</v>
      </c>
      <c r="J94" s="115">
        <v>926027404283963</v>
      </c>
      <c r="K94" s="116" t="s">
        <v>24</v>
      </c>
      <c r="L94" s="110" t="s">
        <v>27</v>
      </c>
      <c r="M94" s="117" t="s">
        <v>13</v>
      </c>
    </row>
    <row r="95" spans="1:13" x14ac:dyDescent="0.35">
      <c r="A95" s="110">
        <v>90</v>
      </c>
      <c r="B95" s="111">
        <v>46045</v>
      </c>
      <c r="C95" s="111">
        <v>46046</v>
      </c>
      <c r="D95" s="112">
        <v>0.83333333333333337</v>
      </c>
      <c r="E95" s="112">
        <v>0.33333333333333331</v>
      </c>
      <c r="F95" s="113">
        <v>181000</v>
      </c>
      <c r="G95" s="113">
        <f t="shared" si="1"/>
        <v>181000</v>
      </c>
      <c r="H95" s="114" t="s">
        <v>12</v>
      </c>
      <c r="I95" s="115">
        <v>987263439248</v>
      </c>
      <c r="J95" s="115">
        <v>926027404283963</v>
      </c>
      <c r="K95" s="116" t="s">
        <v>16</v>
      </c>
      <c r="L95" s="110" t="s">
        <v>27</v>
      </c>
      <c r="M95" s="117" t="s">
        <v>22</v>
      </c>
    </row>
    <row r="96" spans="1:13" x14ac:dyDescent="0.35">
      <c r="A96" s="110">
        <v>91</v>
      </c>
      <c r="B96" s="111">
        <v>46045</v>
      </c>
      <c r="C96" s="111">
        <v>46046</v>
      </c>
      <c r="D96" s="112">
        <v>0.83333333333333337</v>
      </c>
      <c r="E96" s="112">
        <v>0.33333333333333331</v>
      </c>
      <c r="F96" s="113">
        <v>469000</v>
      </c>
      <c r="G96" s="113">
        <f t="shared" si="1"/>
        <v>469000</v>
      </c>
      <c r="H96" s="114" t="s">
        <v>12</v>
      </c>
      <c r="I96" s="115">
        <v>987263439248</v>
      </c>
      <c r="J96" s="115">
        <v>926027404283963</v>
      </c>
      <c r="K96" s="116" t="s">
        <v>15</v>
      </c>
      <c r="L96" s="110" t="s">
        <v>27</v>
      </c>
      <c r="M96" s="117" t="s">
        <v>13</v>
      </c>
    </row>
    <row r="97" spans="1:13" x14ac:dyDescent="0.35">
      <c r="A97" s="110">
        <v>92</v>
      </c>
      <c r="B97" s="111">
        <v>46046</v>
      </c>
      <c r="C97" s="111">
        <v>46046</v>
      </c>
      <c r="D97" s="112">
        <v>0.33333333333333331</v>
      </c>
      <c r="E97" s="112">
        <v>0.83333333333333337</v>
      </c>
      <c r="F97" s="113">
        <v>237000</v>
      </c>
      <c r="G97" s="113">
        <f t="shared" si="1"/>
        <v>237000</v>
      </c>
      <c r="H97" s="114" t="s">
        <v>12</v>
      </c>
      <c r="I97" s="115">
        <v>987263439263</v>
      </c>
      <c r="J97" s="115">
        <v>926027404284675</v>
      </c>
      <c r="K97" s="116" t="s">
        <v>25</v>
      </c>
      <c r="L97" s="110" t="s">
        <v>27</v>
      </c>
      <c r="M97" s="117" t="s">
        <v>22</v>
      </c>
    </row>
    <row r="98" spans="1:13" x14ac:dyDescent="0.35">
      <c r="A98" s="110">
        <v>93</v>
      </c>
      <c r="B98" s="111">
        <v>46046</v>
      </c>
      <c r="C98" s="111">
        <v>46046</v>
      </c>
      <c r="D98" s="112">
        <v>0.33333333333333331</v>
      </c>
      <c r="E98" s="112">
        <v>0.83333333333333337</v>
      </c>
      <c r="F98" s="113">
        <v>942000</v>
      </c>
      <c r="G98" s="113">
        <f t="shared" si="1"/>
        <v>942000</v>
      </c>
      <c r="H98" s="114" t="s">
        <v>12</v>
      </c>
      <c r="I98" s="115">
        <v>987263439263</v>
      </c>
      <c r="J98" s="115">
        <v>926027404284675</v>
      </c>
      <c r="K98" s="116" t="s">
        <v>24</v>
      </c>
      <c r="L98" s="110" t="s">
        <v>27</v>
      </c>
      <c r="M98" s="117" t="s">
        <v>13</v>
      </c>
    </row>
    <row r="99" spans="1:13" x14ac:dyDescent="0.35">
      <c r="A99" s="110">
        <v>94</v>
      </c>
      <c r="B99" s="111">
        <v>46046</v>
      </c>
      <c r="C99" s="111">
        <v>46047</v>
      </c>
      <c r="D99" s="112">
        <v>0.83333333333333337</v>
      </c>
      <c r="E99" s="112">
        <v>0.33333333333333331</v>
      </c>
      <c r="F99" s="113">
        <v>135000</v>
      </c>
      <c r="G99" s="113">
        <f t="shared" si="1"/>
        <v>135000</v>
      </c>
      <c r="H99" s="114" t="s">
        <v>12</v>
      </c>
      <c r="I99" s="115">
        <v>987263439263</v>
      </c>
      <c r="J99" s="115">
        <v>926027404284675</v>
      </c>
      <c r="K99" s="116" t="s">
        <v>16</v>
      </c>
      <c r="L99" s="110" t="s">
        <v>27</v>
      </c>
      <c r="M99" s="117" t="s">
        <v>22</v>
      </c>
    </row>
    <row r="100" spans="1:13" x14ac:dyDescent="0.35">
      <c r="A100" s="110">
        <v>95</v>
      </c>
      <c r="B100" s="111">
        <v>46046</v>
      </c>
      <c r="C100" s="111">
        <v>46047</v>
      </c>
      <c r="D100" s="112">
        <v>0.83333333333333337</v>
      </c>
      <c r="E100" s="112">
        <v>0.33333333333333331</v>
      </c>
      <c r="F100" s="113">
        <v>516000</v>
      </c>
      <c r="G100" s="113">
        <f t="shared" si="1"/>
        <v>516000</v>
      </c>
      <c r="H100" s="114" t="s">
        <v>12</v>
      </c>
      <c r="I100" s="115">
        <v>987263439263</v>
      </c>
      <c r="J100" s="115">
        <v>926027404284675</v>
      </c>
      <c r="K100" s="116" t="s">
        <v>15</v>
      </c>
      <c r="L100" s="110" t="s">
        <v>27</v>
      </c>
      <c r="M100" s="117" t="s">
        <v>13</v>
      </c>
    </row>
    <row r="101" spans="1:13" x14ac:dyDescent="0.35">
      <c r="A101" s="110">
        <v>97</v>
      </c>
      <c r="B101" s="111">
        <v>46047</v>
      </c>
      <c r="C101" s="111">
        <v>46047</v>
      </c>
      <c r="D101" s="112">
        <v>0.33333333333333331</v>
      </c>
      <c r="E101" s="112">
        <v>0.83333333333333337</v>
      </c>
      <c r="F101" s="113">
        <v>498000</v>
      </c>
      <c r="G101" s="113">
        <f t="shared" si="1"/>
        <v>498000</v>
      </c>
      <c r="H101" s="114" t="s">
        <v>12</v>
      </c>
      <c r="I101" s="115">
        <v>987263439275</v>
      </c>
      <c r="J101" s="115">
        <v>926028404767805</v>
      </c>
      <c r="K101" s="116" t="s">
        <v>19</v>
      </c>
      <c r="L101" s="110" t="s">
        <v>27</v>
      </c>
      <c r="M101" s="117" t="s">
        <v>22</v>
      </c>
    </row>
    <row r="102" spans="1:13" x14ac:dyDescent="0.35">
      <c r="A102" s="110">
        <v>98</v>
      </c>
      <c r="B102" s="111">
        <v>46047</v>
      </c>
      <c r="C102" s="111">
        <v>46047</v>
      </c>
      <c r="D102" s="112">
        <v>0.33333333333333331</v>
      </c>
      <c r="E102" s="112">
        <v>0.83333333333333337</v>
      </c>
      <c r="F102" s="113">
        <v>1432000</v>
      </c>
      <c r="G102" s="113">
        <f t="shared" si="1"/>
        <v>1432000</v>
      </c>
      <c r="H102" s="114" t="s">
        <v>12</v>
      </c>
      <c r="I102" s="115">
        <v>987263439275</v>
      </c>
      <c r="J102" s="115">
        <v>926028404767805</v>
      </c>
      <c r="K102" s="116" t="s">
        <v>20</v>
      </c>
      <c r="L102" s="110" t="s">
        <v>27</v>
      </c>
      <c r="M102" s="117" t="s">
        <v>13</v>
      </c>
    </row>
    <row r="103" spans="1:13" x14ac:dyDescent="0.35">
      <c r="A103" s="110">
        <v>99</v>
      </c>
      <c r="B103" s="111">
        <v>46047</v>
      </c>
      <c r="C103" s="111">
        <v>46048</v>
      </c>
      <c r="D103" s="112">
        <v>0.83333333333333337</v>
      </c>
      <c r="E103" s="112">
        <v>0.33333333333333331</v>
      </c>
      <c r="F103" s="113">
        <v>238000</v>
      </c>
      <c r="G103" s="113">
        <f t="shared" si="1"/>
        <v>238000</v>
      </c>
      <c r="H103" s="114" t="s">
        <v>12</v>
      </c>
      <c r="I103" s="115">
        <v>987263439275</v>
      </c>
      <c r="J103" s="115">
        <v>926028404767805</v>
      </c>
      <c r="K103" s="116" t="s">
        <v>25</v>
      </c>
      <c r="L103" s="110" t="s">
        <v>27</v>
      </c>
      <c r="M103" s="117" t="s">
        <v>22</v>
      </c>
    </row>
    <row r="104" spans="1:13" x14ac:dyDescent="0.35">
      <c r="A104" s="110">
        <v>100</v>
      </c>
      <c r="B104" s="111">
        <v>46047</v>
      </c>
      <c r="C104" s="111">
        <v>46048</v>
      </c>
      <c r="D104" s="112">
        <v>0.83333333333333337</v>
      </c>
      <c r="E104" s="112">
        <v>0.33333333333333331</v>
      </c>
      <c r="F104" s="113">
        <v>546000</v>
      </c>
      <c r="G104" s="113">
        <f t="shared" si="1"/>
        <v>546000</v>
      </c>
      <c r="H104" s="114" t="s">
        <v>12</v>
      </c>
      <c r="I104" s="115">
        <v>987263439275</v>
      </c>
      <c r="J104" s="115">
        <v>926028404767805</v>
      </c>
      <c r="K104" s="116" t="s">
        <v>24</v>
      </c>
      <c r="L104" s="110" t="s">
        <v>27</v>
      </c>
      <c r="M104" s="117" t="s">
        <v>13</v>
      </c>
    </row>
    <row r="105" spans="1:13" x14ac:dyDescent="0.35">
      <c r="A105" s="110">
        <v>101</v>
      </c>
      <c r="B105" s="111">
        <v>46048</v>
      </c>
      <c r="C105" s="111">
        <v>46048</v>
      </c>
      <c r="D105" s="112">
        <v>0.33333333333333331</v>
      </c>
      <c r="E105" s="112">
        <v>0.83333333333333337</v>
      </c>
      <c r="F105" s="113">
        <v>438000</v>
      </c>
      <c r="G105" s="113">
        <f t="shared" si="1"/>
        <v>438000</v>
      </c>
      <c r="H105" s="114" t="s">
        <v>12</v>
      </c>
      <c r="I105" s="115">
        <v>987263449199</v>
      </c>
      <c r="J105" s="115">
        <v>926029405139510</v>
      </c>
      <c r="K105" s="116" t="s">
        <v>19</v>
      </c>
      <c r="L105" s="110" t="s">
        <v>27</v>
      </c>
      <c r="M105" s="117" t="s">
        <v>22</v>
      </c>
    </row>
    <row r="106" spans="1:13" x14ac:dyDescent="0.35">
      <c r="A106" s="110">
        <v>102</v>
      </c>
      <c r="B106" s="111">
        <v>46048</v>
      </c>
      <c r="C106" s="111">
        <v>46048</v>
      </c>
      <c r="D106" s="112">
        <v>0.33333333333333331</v>
      </c>
      <c r="E106" s="112">
        <v>0.83333333333333337</v>
      </c>
      <c r="F106" s="113">
        <v>1289000</v>
      </c>
      <c r="G106" s="113">
        <f t="shared" si="1"/>
        <v>1289000</v>
      </c>
      <c r="H106" s="114" t="s">
        <v>12</v>
      </c>
      <c r="I106" s="115">
        <v>987263449199</v>
      </c>
      <c r="J106" s="115">
        <v>926029405139510</v>
      </c>
      <c r="K106" s="116" t="s">
        <v>20</v>
      </c>
      <c r="L106" s="110" t="s">
        <v>27</v>
      </c>
      <c r="M106" s="117" t="s">
        <v>13</v>
      </c>
    </row>
    <row r="107" spans="1:13" x14ac:dyDescent="0.35">
      <c r="A107" s="110">
        <v>103</v>
      </c>
      <c r="B107" s="111">
        <v>46048</v>
      </c>
      <c r="C107" s="111">
        <v>46049</v>
      </c>
      <c r="D107" s="112">
        <v>0.83333333333333337</v>
      </c>
      <c r="E107" s="112">
        <v>0.33333333333333331</v>
      </c>
      <c r="F107" s="113">
        <v>114000</v>
      </c>
      <c r="G107" s="113">
        <f t="shared" si="1"/>
        <v>114000</v>
      </c>
      <c r="H107" s="114" t="s">
        <v>12</v>
      </c>
      <c r="I107" s="115">
        <v>987263449199</v>
      </c>
      <c r="J107" s="115">
        <v>926029405139510</v>
      </c>
      <c r="K107" s="116" t="s">
        <v>25</v>
      </c>
      <c r="L107" s="110" t="s">
        <v>27</v>
      </c>
      <c r="M107" s="117" t="s">
        <v>22</v>
      </c>
    </row>
    <row r="108" spans="1:13" x14ac:dyDescent="0.35">
      <c r="A108" s="110">
        <v>104</v>
      </c>
      <c r="B108" s="111">
        <v>46048</v>
      </c>
      <c r="C108" s="111">
        <v>46049</v>
      </c>
      <c r="D108" s="112">
        <v>0.83333333333333337</v>
      </c>
      <c r="E108" s="112">
        <v>0.33333333333333331</v>
      </c>
      <c r="F108" s="113">
        <v>546000</v>
      </c>
      <c r="G108" s="113">
        <f t="shared" si="1"/>
        <v>546000</v>
      </c>
      <c r="H108" s="114" t="s">
        <v>12</v>
      </c>
      <c r="I108" s="115">
        <v>987263449199</v>
      </c>
      <c r="J108" s="115">
        <v>926029405139510</v>
      </c>
      <c r="K108" s="116" t="s">
        <v>24</v>
      </c>
      <c r="L108" s="110" t="s">
        <v>27</v>
      </c>
      <c r="M108" s="117" t="s">
        <v>13</v>
      </c>
    </row>
    <row r="109" spans="1:13" x14ac:dyDescent="0.35">
      <c r="A109" s="110">
        <v>105</v>
      </c>
      <c r="B109" s="111">
        <v>46049</v>
      </c>
      <c r="C109" s="111">
        <v>46049</v>
      </c>
      <c r="D109" s="112">
        <v>0.33333333333333331</v>
      </c>
      <c r="E109" s="112">
        <v>0.83333333333333337</v>
      </c>
      <c r="F109" s="113">
        <v>166000</v>
      </c>
      <c r="G109" s="113">
        <f t="shared" si="1"/>
        <v>166000</v>
      </c>
      <c r="H109" s="114" t="s">
        <v>12</v>
      </c>
      <c r="I109" s="115">
        <v>987263462812</v>
      </c>
      <c r="J109" s="115">
        <v>926030405467280</v>
      </c>
      <c r="K109" s="116" t="s">
        <v>16</v>
      </c>
      <c r="L109" s="110" t="s">
        <v>27</v>
      </c>
      <c r="M109" s="117" t="s">
        <v>22</v>
      </c>
    </row>
    <row r="110" spans="1:13" x14ac:dyDescent="0.35">
      <c r="A110" s="110">
        <v>106</v>
      </c>
      <c r="B110" s="111">
        <v>46049</v>
      </c>
      <c r="C110" s="111">
        <v>46049</v>
      </c>
      <c r="D110" s="112">
        <v>0.33333333333333331</v>
      </c>
      <c r="E110" s="112">
        <v>0.83333333333333337</v>
      </c>
      <c r="F110" s="113">
        <v>1130000</v>
      </c>
      <c r="G110" s="113">
        <f t="shared" si="1"/>
        <v>1130000</v>
      </c>
      <c r="H110" s="114" t="s">
        <v>12</v>
      </c>
      <c r="I110" s="115">
        <v>987263462812</v>
      </c>
      <c r="J110" s="115">
        <v>926030405467280</v>
      </c>
      <c r="K110" s="116" t="s">
        <v>15</v>
      </c>
      <c r="L110" s="110" t="s">
        <v>27</v>
      </c>
      <c r="M110" s="117" t="s">
        <v>13</v>
      </c>
    </row>
    <row r="111" spans="1:13" x14ac:dyDescent="0.35">
      <c r="A111" s="110">
        <v>107</v>
      </c>
      <c r="B111" s="111">
        <v>46049</v>
      </c>
      <c r="C111" s="111">
        <v>46050</v>
      </c>
      <c r="D111" s="112">
        <v>0.83333333333333337</v>
      </c>
      <c r="E111" s="112">
        <v>0.33333333333333331</v>
      </c>
      <c r="F111" s="113">
        <v>170000</v>
      </c>
      <c r="G111" s="113">
        <f t="shared" si="1"/>
        <v>170000</v>
      </c>
      <c r="H111" s="114" t="s">
        <v>12</v>
      </c>
      <c r="I111" s="115">
        <v>987263462812</v>
      </c>
      <c r="J111" s="115">
        <v>926030405467280</v>
      </c>
      <c r="K111" s="116" t="s">
        <v>19</v>
      </c>
      <c r="L111" s="110" t="s">
        <v>27</v>
      </c>
      <c r="M111" s="117" t="s">
        <v>22</v>
      </c>
    </row>
    <row r="112" spans="1:13" x14ac:dyDescent="0.35">
      <c r="A112" s="110">
        <v>108</v>
      </c>
      <c r="B112" s="111">
        <v>46049</v>
      </c>
      <c r="C112" s="111">
        <v>46050</v>
      </c>
      <c r="D112" s="112">
        <v>0.83333333333333337</v>
      </c>
      <c r="E112" s="112">
        <v>0.33333333333333331</v>
      </c>
      <c r="F112" s="113">
        <v>629000</v>
      </c>
      <c r="G112" s="113">
        <f t="shared" si="1"/>
        <v>629000</v>
      </c>
      <c r="H112" s="114" t="s">
        <v>12</v>
      </c>
      <c r="I112" s="115">
        <v>987263462812</v>
      </c>
      <c r="J112" s="115">
        <v>926030405467280</v>
      </c>
      <c r="K112" s="116" t="s">
        <v>20</v>
      </c>
      <c r="L112" s="110" t="s">
        <v>27</v>
      </c>
      <c r="M112" s="117" t="s">
        <v>13</v>
      </c>
    </row>
    <row r="113" spans="1:13" x14ac:dyDescent="0.35">
      <c r="A113" s="110">
        <v>109</v>
      </c>
      <c r="B113" s="111">
        <v>46050</v>
      </c>
      <c r="C113" s="111">
        <v>46050</v>
      </c>
      <c r="D113" s="112">
        <v>0.33333333333333331</v>
      </c>
      <c r="E113" s="112">
        <v>0.83333333333333337</v>
      </c>
      <c r="F113" s="113">
        <v>268000</v>
      </c>
      <c r="G113" s="113">
        <f t="shared" si="1"/>
        <v>268000</v>
      </c>
      <c r="H113" s="114" t="s">
        <v>12</v>
      </c>
      <c r="I113" s="115">
        <v>987263472076</v>
      </c>
      <c r="J113" s="115">
        <v>926031405815479</v>
      </c>
      <c r="K113" s="116" t="s">
        <v>16</v>
      </c>
      <c r="L113" s="110" t="s">
        <v>27</v>
      </c>
      <c r="M113" s="117" t="s">
        <v>22</v>
      </c>
    </row>
    <row r="114" spans="1:13" x14ac:dyDescent="0.35">
      <c r="A114" s="110">
        <v>110</v>
      </c>
      <c r="B114" s="111">
        <v>46050</v>
      </c>
      <c r="C114" s="111">
        <v>46050</v>
      </c>
      <c r="D114" s="112">
        <v>0.33333333333333331</v>
      </c>
      <c r="E114" s="112">
        <v>0.83333333333333337</v>
      </c>
      <c r="F114" s="113">
        <v>996000</v>
      </c>
      <c r="G114" s="113">
        <f t="shared" si="1"/>
        <v>996000</v>
      </c>
      <c r="H114" s="114" t="s">
        <v>12</v>
      </c>
      <c r="I114" s="115">
        <v>987263472076</v>
      </c>
      <c r="J114" s="115">
        <v>926031405815479</v>
      </c>
      <c r="K114" s="116" t="s">
        <v>15</v>
      </c>
      <c r="L114" s="110" t="s">
        <v>27</v>
      </c>
      <c r="M114" s="117" t="s">
        <v>13</v>
      </c>
    </row>
    <row r="115" spans="1:13" x14ac:dyDescent="0.35">
      <c r="A115" s="110">
        <v>111</v>
      </c>
      <c r="B115" s="111">
        <v>46050</v>
      </c>
      <c r="C115" s="111">
        <v>46051</v>
      </c>
      <c r="D115" s="112">
        <v>0.83333333333333337</v>
      </c>
      <c r="E115" s="112">
        <v>0.33333333333333331</v>
      </c>
      <c r="F115" s="113">
        <v>265000</v>
      </c>
      <c r="G115" s="113">
        <f t="shared" si="1"/>
        <v>265000</v>
      </c>
      <c r="H115" s="114" t="s">
        <v>12</v>
      </c>
      <c r="I115" s="115">
        <v>987263472076</v>
      </c>
      <c r="J115" s="115">
        <v>926031405815479</v>
      </c>
      <c r="K115" s="116" t="s">
        <v>19</v>
      </c>
      <c r="L115" s="110" t="s">
        <v>27</v>
      </c>
      <c r="M115" s="117" t="s">
        <v>22</v>
      </c>
    </row>
    <row r="116" spans="1:13" x14ac:dyDescent="0.35">
      <c r="A116" s="110">
        <v>112</v>
      </c>
      <c r="B116" s="111">
        <v>46050</v>
      </c>
      <c r="C116" s="111">
        <v>46051</v>
      </c>
      <c r="D116" s="112">
        <v>0.83333333333333337</v>
      </c>
      <c r="E116" s="112">
        <v>0.33333333333333331</v>
      </c>
      <c r="F116" s="113">
        <v>470000</v>
      </c>
      <c r="G116" s="113">
        <f t="shared" si="1"/>
        <v>470000</v>
      </c>
      <c r="H116" s="114" t="s">
        <v>12</v>
      </c>
      <c r="I116" s="115">
        <v>987263472076</v>
      </c>
      <c r="J116" s="115">
        <v>926031405815479</v>
      </c>
      <c r="K116" s="116" t="s">
        <v>20</v>
      </c>
      <c r="L116" s="110" t="s">
        <v>27</v>
      </c>
      <c r="M116" s="117" t="s">
        <v>13</v>
      </c>
    </row>
    <row r="117" spans="1:13" x14ac:dyDescent="0.35">
      <c r="A117" s="110">
        <v>113</v>
      </c>
      <c r="B117" s="111">
        <v>46051</v>
      </c>
      <c r="C117" s="111">
        <v>46051</v>
      </c>
      <c r="D117" s="112">
        <v>0.33333333333333331</v>
      </c>
      <c r="E117" s="112">
        <v>0.83333333333333337</v>
      </c>
      <c r="F117" s="113">
        <v>184000</v>
      </c>
      <c r="G117" s="113">
        <f t="shared" si="1"/>
        <v>184000</v>
      </c>
      <c r="H117" s="114" t="s">
        <v>12</v>
      </c>
      <c r="I117" s="115">
        <v>987263482623</v>
      </c>
      <c r="J117" s="115">
        <v>926032406029944</v>
      </c>
      <c r="K117" s="116" t="s">
        <v>25</v>
      </c>
      <c r="L117" s="110" t="s">
        <v>27</v>
      </c>
      <c r="M117" s="117" t="s">
        <v>22</v>
      </c>
    </row>
    <row r="118" spans="1:13" x14ac:dyDescent="0.35">
      <c r="A118" s="110">
        <v>114</v>
      </c>
      <c r="B118" s="111">
        <v>46051</v>
      </c>
      <c r="C118" s="111">
        <v>46051</v>
      </c>
      <c r="D118" s="112">
        <v>0.33333333333333331</v>
      </c>
      <c r="E118" s="112">
        <v>0.83333333333333337</v>
      </c>
      <c r="F118" s="113">
        <v>1056000</v>
      </c>
      <c r="G118" s="113">
        <f t="shared" si="1"/>
        <v>1056000</v>
      </c>
      <c r="H118" s="114" t="s">
        <v>12</v>
      </c>
      <c r="I118" s="115">
        <v>987263482623</v>
      </c>
      <c r="J118" s="115">
        <v>926032406029944</v>
      </c>
      <c r="K118" s="116" t="s">
        <v>24</v>
      </c>
      <c r="L118" s="110" t="s">
        <v>27</v>
      </c>
      <c r="M118" s="117" t="s">
        <v>13</v>
      </c>
    </row>
    <row r="119" spans="1:13" x14ac:dyDescent="0.35">
      <c r="A119" s="110">
        <v>115</v>
      </c>
      <c r="B119" s="111">
        <v>46051</v>
      </c>
      <c r="C119" s="111">
        <v>46052</v>
      </c>
      <c r="D119" s="112">
        <v>0.83333333333333337</v>
      </c>
      <c r="E119" s="112">
        <v>0.33333333333333331</v>
      </c>
      <c r="F119" s="113">
        <v>244000</v>
      </c>
      <c r="G119" s="113">
        <f t="shared" si="1"/>
        <v>244000</v>
      </c>
      <c r="H119" s="114" t="s">
        <v>12</v>
      </c>
      <c r="I119" s="115">
        <v>987263482623</v>
      </c>
      <c r="J119" s="115">
        <v>926032406029944</v>
      </c>
      <c r="K119" s="116" t="s">
        <v>16</v>
      </c>
      <c r="L119" s="110" t="s">
        <v>27</v>
      </c>
      <c r="M119" s="117" t="s">
        <v>22</v>
      </c>
    </row>
    <row r="120" spans="1:13" x14ac:dyDescent="0.35">
      <c r="A120" s="110">
        <v>116</v>
      </c>
      <c r="B120" s="111">
        <v>46051</v>
      </c>
      <c r="C120" s="111">
        <v>46052</v>
      </c>
      <c r="D120" s="112">
        <v>0.83333333333333337</v>
      </c>
      <c r="E120" s="112">
        <v>0.33333333333333331</v>
      </c>
      <c r="F120" s="113">
        <v>481000</v>
      </c>
      <c r="G120" s="113">
        <f t="shared" si="1"/>
        <v>481000</v>
      </c>
      <c r="H120" s="114" t="s">
        <v>12</v>
      </c>
      <c r="I120" s="115">
        <v>987263482623</v>
      </c>
      <c r="J120" s="115">
        <v>926032406029944</v>
      </c>
      <c r="K120" s="116" t="s">
        <v>15</v>
      </c>
      <c r="L120" s="110" t="s">
        <v>27</v>
      </c>
      <c r="M120" s="117" t="s">
        <v>13</v>
      </c>
    </row>
    <row r="121" spans="1:13" x14ac:dyDescent="0.35">
      <c r="A121" s="110">
        <v>117</v>
      </c>
      <c r="B121" s="111">
        <v>46052</v>
      </c>
      <c r="C121" s="111">
        <v>46052</v>
      </c>
      <c r="D121" s="112">
        <v>0.33333333333333331</v>
      </c>
      <c r="E121" s="112">
        <v>0.83333333333333337</v>
      </c>
      <c r="F121" s="113">
        <v>270000</v>
      </c>
      <c r="G121" s="113">
        <f t="shared" si="1"/>
        <v>270000</v>
      </c>
      <c r="H121" s="114" t="s">
        <v>12</v>
      </c>
      <c r="I121" s="115">
        <v>987263503607</v>
      </c>
      <c r="J121" s="115">
        <v>926033406391923</v>
      </c>
      <c r="K121" s="116" t="s">
        <v>25</v>
      </c>
      <c r="L121" s="110" t="s">
        <v>27</v>
      </c>
      <c r="M121" s="117" t="s">
        <v>22</v>
      </c>
    </row>
    <row r="122" spans="1:13" x14ac:dyDescent="0.35">
      <c r="A122" s="110">
        <v>118</v>
      </c>
      <c r="B122" s="111">
        <v>46052</v>
      </c>
      <c r="C122" s="111">
        <v>46052</v>
      </c>
      <c r="D122" s="112">
        <v>0.33333333333333331</v>
      </c>
      <c r="E122" s="112">
        <v>0.83333333333333337</v>
      </c>
      <c r="F122" s="113">
        <v>1272000</v>
      </c>
      <c r="G122" s="113">
        <f t="shared" si="1"/>
        <v>1272000</v>
      </c>
      <c r="H122" s="114" t="s">
        <v>12</v>
      </c>
      <c r="I122" s="115">
        <v>987263503607</v>
      </c>
      <c r="J122" s="115">
        <v>926033406391923</v>
      </c>
      <c r="K122" s="116" t="s">
        <v>24</v>
      </c>
      <c r="L122" s="110" t="s">
        <v>27</v>
      </c>
      <c r="M122" s="117" t="s">
        <v>13</v>
      </c>
    </row>
    <row r="123" spans="1:13" x14ac:dyDescent="0.35">
      <c r="A123" s="110">
        <v>119</v>
      </c>
      <c r="B123" s="111">
        <v>46052</v>
      </c>
      <c r="C123" s="111">
        <v>46053</v>
      </c>
      <c r="D123" s="112">
        <v>0.83333333333333337</v>
      </c>
      <c r="E123" s="112">
        <v>0.33333333333333331</v>
      </c>
      <c r="F123" s="113">
        <v>90000</v>
      </c>
      <c r="G123" s="113">
        <f t="shared" si="1"/>
        <v>90000</v>
      </c>
      <c r="H123" s="114" t="s">
        <v>12</v>
      </c>
      <c r="I123" s="115">
        <v>987263503607</v>
      </c>
      <c r="J123" s="115">
        <v>926033406391923</v>
      </c>
      <c r="K123" s="116" t="s">
        <v>16</v>
      </c>
      <c r="L123" s="110" t="s">
        <v>27</v>
      </c>
      <c r="M123" s="117" t="s">
        <v>22</v>
      </c>
    </row>
    <row r="124" spans="1:13" x14ac:dyDescent="0.35">
      <c r="A124" s="110">
        <v>120</v>
      </c>
      <c r="B124" s="111">
        <v>46052</v>
      </c>
      <c r="C124" s="111">
        <v>46053</v>
      </c>
      <c r="D124" s="112">
        <v>0.83333333333333337</v>
      </c>
      <c r="E124" s="112">
        <v>0.33333333333333331</v>
      </c>
      <c r="F124" s="113">
        <v>527000</v>
      </c>
      <c r="G124" s="113">
        <f t="shared" si="1"/>
        <v>527000</v>
      </c>
      <c r="H124" s="114" t="s">
        <v>12</v>
      </c>
      <c r="I124" s="115">
        <v>987263503607</v>
      </c>
      <c r="J124" s="115">
        <v>926033406391923</v>
      </c>
      <c r="K124" s="116" t="s">
        <v>15</v>
      </c>
      <c r="L124" s="110" t="s">
        <v>27</v>
      </c>
      <c r="M124" s="117" t="s">
        <v>13</v>
      </c>
    </row>
    <row r="125" spans="1:13" x14ac:dyDescent="0.35">
      <c r="A125" s="110">
        <v>121</v>
      </c>
      <c r="B125" s="111">
        <v>46053</v>
      </c>
      <c r="C125" s="111">
        <v>46053</v>
      </c>
      <c r="D125" s="112">
        <v>0.33333333333333331</v>
      </c>
      <c r="E125" s="112">
        <v>0.83333333333333337</v>
      </c>
      <c r="F125" s="113">
        <v>137000</v>
      </c>
      <c r="G125" s="113">
        <f t="shared" si="1"/>
        <v>137000</v>
      </c>
      <c r="H125" s="114" t="s">
        <v>12</v>
      </c>
      <c r="I125" s="115">
        <v>987263503618</v>
      </c>
      <c r="J125" s="115">
        <v>926033406391450</v>
      </c>
      <c r="K125" s="116" t="s">
        <v>19</v>
      </c>
      <c r="L125" s="110" t="s">
        <v>27</v>
      </c>
      <c r="M125" s="117" t="s">
        <v>22</v>
      </c>
    </row>
    <row r="126" spans="1:13" x14ac:dyDescent="0.35">
      <c r="A126" s="110" t="s">
        <v>147</v>
      </c>
      <c r="B126" s="111">
        <v>46053</v>
      </c>
      <c r="C126" s="111">
        <v>46053</v>
      </c>
      <c r="D126" s="112">
        <v>0.33333333333333331</v>
      </c>
      <c r="E126" s="112">
        <v>0.83333333333333337</v>
      </c>
      <c r="F126" s="113">
        <v>1010000</v>
      </c>
      <c r="G126" s="113">
        <f t="shared" si="1"/>
        <v>1010000</v>
      </c>
      <c r="H126" s="114" t="s">
        <v>12</v>
      </c>
      <c r="I126" s="115">
        <v>987263503618</v>
      </c>
      <c r="J126" s="115">
        <v>926033406391450</v>
      </c>
      <c r="K126" s="116" t="s">
        <v>20</v>
      </c>
      <c r="L126" s="110" t="s">
        <v>27</v>
      </c>
      <c r="M126" s="117" t="s">
        <v>13</v>
      </c>
    </row>
    <row r="127" spans="1:13" x14ac:dyDescent="0.35">
      <c r="A127" s="110">
        <v>123</v>
      </c>
      <c r="B127" s="111">
        <v>46053</v>
      </c>
      <c r="C127" s="111">
        <v>46054</v>
      </c>
      <c r="D127" s="112">
        <v>0.83333333333333337</v>
      </c>
      <c r="E127" s="112">
        <v>0.33333333333333331</v>
      </c>
      <c r="F127" s="113">
        <v>220000</v>
      </c>
      <c r="G127" s="113">
        <f t="shared" si="1"/>
        <v>220000</v>
      </c>
      <c r="H127" s="114" t="s">
        <v>12</v>
      </c>
      <c r="I127" s="115">
        <v>987263503618</v>
      </c>
      <c r="J127" s="115">
        <v>926033406391450</v>
      </c>
      <c r="K127" s="116" t="s">
        <v>25</v>
      </c>
      <c r="L127" s="110" t="s">
        <v>27</v>
      </c>
      <c r="M127" s="117" t="s">
        <v>22</v>
      </c>
    </row>
    <row r="128" spans="1:13" x14ac:dyDescent="0.35">
      <c r="A128" s="110">
        <v>124</v>
      </c>
      <c r="B128" s="111">
        <v>46053</v>
      </c>
      <c r="C128" s="111">
        <v>46055</v>
      </c>
      <c r="D128" s="112">
        <v>0.83333333333333337</v>
      </c>
      <c r="E128" s="112">
        <v>0.33333333333333331</v>
      </c>
      <c r="F128" s="113">
        <v>559000</v>
      </c>
      <c r="G128" s="113">
        <f t="shared" si="1"/>
        <v>559000</v>
      </c>
      <c r="H128" s="114" t="s">
        <v>12</v>
      </c>
      <c r="I128" s="115">
        <v>987263503618</v>
      </c>
      <c r="J128" s="115">
        <v>926033406391450</v>
      </c>
      <c r="K128" s="117" t="s">
        <v>24</v>
      </c>
      <c r="L128" s="110" t="s">
        <v>27</v>
      </c>
      <c r="M128" s="117" t="s">
        <v>13</v>
      </c>
    </row>
    <row r="129" spans="1:13" x14ac:dyDescent="0.35">
      <c r="A129" s="130"/>
      <c r="B129" s="118" t="s">
        <v>4</v>
      </c>
      <c r="C129" s="118"/>
      <c r="D129" s="118"/>
      <c r="E129" s="118"/>
      <c r="F129" s="119">
        <f>SUM(F5:F128)</f>
        <v>59284000</v>
      </c>
      <c r="G129" s="119">
        <f>SUM(G5:G128)</f>
        <v>59854000</v>
      </c>
      <c r="H129" s="118"/>
      <c r="I129" s="118"/>
      <c r="J129" s="118"/>
      <c r="K129" s="118"/>
      <c r="L129" s="118"/>
      <c r="M129" s="118"/>
    </row>
  </sheetData>
  <mergeCells count="3">
    <mergeCell ref="B1:M1"/>
    <mergeCell ref="B2:M2"/>
    <mergeCell ref="B3:M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1A2D-253F-45C7-8767-352C9D842708}">
  <dimension ref="A1:M119"/>
  <sheetViews>
    <sheetView topLeftCell="A112" workbookViewId="0">
      <selection activeCell="B1" sqref="B1:M3"/>
    </sheetView>
  </sheetViews>
  <sheetFormatPr defaultRowHeight="14.5" x14ac:dyDescent="0.35"/>
  <cols>
    <col min="1" max="1" width="7.54296875" style="1" customWidth="1"/>
    <col min="2" max="2" width="13.1796875" customWidth="1"/>
    <col min="3" max="3" width="13.90625" customWidth="1"/>
    <col min="4" max="4" width="10.7265625" customWidth="1"/>
    <col min="5" max="5" width="11.6328125" customWidth="1"/>
    <col min="6" max="6" width="22" customWidth="1"/>
    <col min="7" max="7" width="19.7265625" customWidth="1"/>
    <col min="8" max="8" width="13.7265625" customWidth="1"/>
    <col min="9" max="9" width="16.81640625" customWidth="1"/>
    <col min="10" max="10" width="19.453125" customWidth="1"/>
    <col min="11" max="11" width="15.81640625" customWidth="1"/>
    <col min="12" max="12" width="21.81640625" customWidth="1"/>
    <col min="13" max="13" width="14.36328125" customWidth="1"/>
  </cols>
  <sheetData>
    <row r="1" spans="1:13" x14ac:dyDescent="0.35">
      <c r="A1" s="74"/>
      <c r="B1" s="373" t="s">
        <v>50</v>
      </c>
      <c r="C1" s="374"/>
      <c r="D1" s="374"/>
      <c r="E1" s="374"/>
      <c r="F1" s="374"/>
      <c r="G1" s="374"/>
      <c r="H1" s="374"/>
      <c r="I1" s="374"/>
      <c r="J1" s="374"/>
      <c r="K1" s="374"/>
      <c r="L1" s="374"/>
      <c r="M1" s="375"/>
    </row>
    <row r="2" spans="1:13" x14ac:dyDescent="0.35">
      <c r="A2" s="74"/>
      <c r="B2" s="376">
        <v>46054</v>
      </c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8"/>
    </row>
    <row r="3" spans="1:13" x14ac:dyDescent="0.35">
      <c r="A3" s="74"/>
      <c r="B3" s="373" t="s">
        <v>51</v>
      </c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5"/>
    </row>
    <row r="4" spans="1:13" x14ac:dyDescent="0.35">
      <c r="A4" s="25" t="s">
        <v>52</v>
      </c>
      <c r="B4" s="24" t="s">
        <v>2</v>
      </c>
      <c r="C4" s="25" t="s">
        <v>3</v>
      </c>
      <c r="D4" s="25" t="s">
        <v>0</v>
      </c>
      <c r="E4" s="25" t="s">
        <v>1</v>
      </c>
      <c r="F4" s="109" t="s">
        <v>10</v>
      </c>
      <c r="G4" s="26" t="s">
        <v>9</v>
      </c>
      <c r="H4" s="26" t="s">
        <v>11</v>
      </c>
      <c r="I4" s="27" t="s">
        <v>18</v>
      </c>
      <c r="J4" s="25" t="s">
        <v>17</v>
      </c>
      <c r="K4" s="28" t="s">
        <v>5</v>
      </c>
      <c r="L4" s="25" t="s">
        <v>8</v>
      </c>
      <c r="M4" s="42" t="s">
        <v>6</v>
      </c>
    </row>
    <row r="5" spans="1:13" x14ac:dyDescent="0.35">
      <c r="A5" s="131">
        <v>1</v>
      </c>
      <c r="B5" s="132">
        <v>46054</v>
      </c>
      <c r="C5" s="132">
        <v>46054</v>
      </c>
      <c r="D5" s="133">
        <v>0.33333333333333331</v>
      </c>
      <c r="E5" s="133">
        <v>0.83333333333333337</v>
      </c>
      <c r="F5" s="134">
        <v>426000</v>
      </c>
      <c r="G5" s="134">
        <f t="shared" ref="G5:G8" si="0">SUM(F5)</f>
        <v>426000</v>
      </c>
      <c r="H5" s="135" t="s">
        <v>12</v>
      </c>
      <c r="I5" s="136">
        <v>987263503627</v>
      </c>
      <c r="J5" s="136">
        <v>926035407084337</v>
      </c>
      <c r="K5" s="137" t="s">
        <v>149</v>
      </c>
      <c r="L5" s="136" t="s">
        <v>27</v>
      </c>
      <c r="M5" s="138" t="s">
        <v>22</v>
      </c>
    </row>
    <row r="6" spans="1:13" x14ac:dyDescent="0.35">
      <c r="A6" s="131">
        <v>2</v>
      </c>
      <c r="B6" s="132">
        <v>46054</v>
      </c>
      <c r="C6" s="132" t="s">
        <v>148</v>
      </c>
      <c r="D6" s="133">
        <v>0.33333333333333331</v>
      </c>
      <c r="E6" s="133">
        <v>0.83333333333333337</v>
      </c>
      <c r="F6" s="134">
        <v>1532000</v>
      </c>
      <c r="G6" s="134">
        <f t="shared" si="0"/>
        <v>1532000</v>
      </c>
      <c r="H6" s="135" t="s">
        <v>12</v>
      </c>
      <c r="I6" s="136">
        <v>987263503627</v>
      </c>
      <c r="J6" s="136">
        <v>926035407084337</v>
      </c>
      <c r="K6" s="137" t="s">
        <v>20</v>
      </c>
      <c r="L6" s="136" t="s">
        <v>27</v>
      </c>
      <c r="M6" s="138" t="s">
        <v>124</v>
      </c>
    </row>
    <row r="7" spans="1:13" x14ac:dyDescent="0.35">
      <c r="A7" s="131">
        <v>3</v>
      </c>
      <c r="B7" s="132">
        <v>46054</v>
      </c>
      <c r="C7" s="132">
        <v>46055</v>
      </c>
      <c r="D7" s="133">
        <v>0.83333333333333337</v>
      </c>
      <c r="E7" s="133">
        <v>0.33333333333333331</v>
      </c>
      <c r="F7" s="134">
        <v>228000</v>
      </c>
      <c r="G7" s="134">
        <f t="shared" si="0"/>
        <v>228000</v>
      </c>
      <c r="H7" s="135" t="s">
        <v>12</v>
      </c>
      <c r="I7" s="136">
        <v>987263503627</v>
      </c>
      <c r="J7" s="136">
        <v>926035407084337</v>
      </c>
      <c r="K7" s="137" t="s">
        <v>25</v>
      </c>
      <c r="L7" s="136" t="s">
        <v>27</v>
      </c>
      <c r="M7" s="138" t="s">
        <v>22</v>
      </c>
    </row>
    <row r="8" spans="1:13" x14ac:dyDescent="0.35">
      <c r="A8" s="131">
        <v>4</v>
      </c>
      <c r="B8" s="132">
        <v>46054</v>
      </c>
      <c r="C8" s="132">
        <v>46055</v>
      </c>
      <c r="D8" s="133">
        <v>0.83333333333333337</v>
      </c>
      <c r="E8" s="133">
        <v>0.33333333333333331</v>
      </c>
      <c r="F8" s="134">
        <v>684000</v>
      </c>
      <c r="G8" s="134">
        <f t="shared" si="0"/>
        <v>684000</v>
      </c>
      <c r="H8" s="135" t="s">
        <v>12</v>
      </c>
      <c r="I8" s="136">
        <v>987263503627</v>
      </c>
      <c r="J8" s="136">
        <v>926035407084337</v>
      </c>
      <c r="K8" s="137" t="s">
        <v>24</v>
      </c>
      <c r="L8" s="136" t="s">
        <v>27</v>
      </c>
      <c r="M8" s="138" t="s">
        <v>124</v>
      </c>
    </row>
    <row r="9" spans="1:13" x14ac:dyDescent="0.35">
      <c r="A9" s="131">
        <v>5</v>
      </c>
      <c r="B9" s="132">
        <v>46055</v>
      </c>
      <c r="C9" s="132">
        <v>46055</v>
      </c>
      <c r="D9" s="133">
        <v>0.33333333333333331</v>
      </c>
      <c r="E9" s="133">
        <v>0.83333333333333337</v>
      </c>
      <c r="F9" s="134">
        <v>260000</v>
      </c>
      <c r="G9" s="134">
        <f t="shared" ref="G9:G118" si="1">SUM(F9)</f>
        <v>260000</v>
      </c>
      <c r="H9" s="135" t="s">
        <v>12</v>
      </c>
      <c r="I9" s="136">
        <v>987263514430</v>
      </c>
      <c r="J9" s="136">
        <v>926036407492299</v>
      </c>
      <c r="K9" s="137" t="s">
        <v>16</v>
      </c>
      <c r="L9" s="136" t="s">
        <v>27</v>
      </c>
      <c r="M9" s="138" t="s">
        <v>22</v>
      </c>
    </row>
    <row r="10" spans="1:13" x14ac:dyDescent="0.35">
      <c r="A10" s="131">
        <v>6</v>
      </c>
      <c r="B10" s="132">
        <v>46055</v>
      </c>
      <c r="C10" s="132">
        <v>46055</v>
      </c>
      <c r="D10" s="133">
        <v>0.33333333333333331</v>
      </c>
      <c r="E10" s="133">
        <v>0.83333333333333337</v>
      </c>
      <c r="F10" s="134">
        <v>1278000</v>
      </c>
      <c r="G10" s="134">
        <f t="shared" si="1"/>
        <v>1278000</v>
      </c>
      <c r="H10" s="135" t="s">
        <v>12</v>
      </c>
      <c r="I10" s="136">
        <v>987263514430</v>
      </c>
      <c r="J10" s="136">
        <v>926036407492299</v>
      </c>
      <c r="K10" s="138" t="s">
        <v>15</v>
      </c>
      <c r="L10" s="136" t="s">
        <v>27</v>
      </c>
      <c r="M10" s="138" t="s">
        <v>124</v>
      </c>
    </row>
    <row r="11" spans="1:13" x14ac:dyDescent="0.35">
      <c r="A11" s="131">
        <v>7</v>
      </c>
      <c r="B11" s="132">
        <v>46055</v>
      </c>
      <c r="C11" s="132">
        <v>46056</v>
      </c>
      <c r="D11" s="133">
        <v>0.83333333333333337</v>
      </c>
      <c r="E11" s="133">
        <v>0.33333333333333331</v>
      </c>
      <c r="F11" s="134">
        <v>73000</v>
      </c>
      <c r="G11" s="134">
        <f t="shared" si="1"/>
        <v>73000</v>
      </c>
      <c r="H11" s="135" t="s">
        <v>12</v>
      </c>
      <c r="I11" s="136">
        <v>987263514430</v>
      </c>
      <c r="J11" s="136">
        <v>926036407492299</v>
      </c>
      <c r="K11" s="138" t="s">
        <v>149</v>
      </c>
      <c r="L11" s="136" t="s">
        <v>27</v>
      </c>
      <c r="M11" s="138" t="s">
        <v>22</v>
      </c>
    </row>
    <row r="12" spans="1:13" x14ac:dyDescent="0.35">
      <c r="A12" s="131">
        <v>8</v>
      </c>
      <c r="B12" s="132">
        <v>46055</v>
      </c>
      <c r="C12" s="132">
        <v>46056</v>
      </c>
      <c r="D12" s="133">
        <v>0.83333333333333337</v>
      </c>
      <c r="E12" s="133">
        <v>0.33333333333333331</v>
      </c>
      <c r="F12" s="134">
        <v>487000</v>
      </c>
      <c r="G12" s="134">
        <f t="shared" si="1"/>
        <v>487000</v>
      </c>
      <c r="H12" s="135" t="s">
        <v>12</v>
      </c>
      <c r="I12" s="136">
        <v>987263514430</v>
      </c>
      <c r="J12" s="136">
        <v>926036407492299</v>
      </c>
      <c r="K12" s="138" t="s">
        <v>20</v>
      </c>
      <c r="L12" s="136" t="s">
        <v>27</v>
      </c>
      <c r="M12" s="138" t="s">
        <v>124</v>
      </c>
    </row>
    <row r="13" spans="1:13" x14ac:dyDescent="0.35">
      <c r="A13" s="131">
        <v>9</v>
      </c>
      <c r="B13" s="132">
        <v>46056</v>
      </c>
      <c r="C13" s="132">
        <v>46056</v>
      </c>
      <c r="D13" s="133">
        <v>0.33333333333333331</v>
      </c>
      <c r="E13" s="133">
        <v>0.83333333333333337</v>
      </c>
      <c r="F13" s="134">
        <v>330000</v>
      </c>
      <c r="G13" s="134">
        <f t="shared" si="1"/>
        <v>330000</v>
      </c>
      <c r="H13" s="135" t="s">
        <v>12</v>
      </c>
      <c r="I13" s="136">
        <v>987263526365</v>
      </c>
      <c r="J13" s="136">
        <v>926037407922502</v>
      </c>
      <c r="K13" s="138" t="s">
        <v>16</v>
      </c>
      <c r="L13" s="136" t="s">
        <v>27</v>
      </c>
      <c r="M13" s="138" t="s">
        <v>22</v>
      </c>
    </row>
    <row r="14" spans="1:13" x14ac:dyDescent="0.35">
      <c r="A14" s="131">
        <v>10</v>
      </c>
      <c r="B14" s="132">
        <v>46056</v>
      </c>
      <c r="C14" s="132">
        <v>46056</v>
      </c>
      <c r="D14" s="133">
        <v>0.33333333333333331</v>
      </c>
      <c r="E14" s="133">
        <v>0.83333333333333337</v>
      </c>
      <c r="F14" s="134">
        <v>966000</v>
      </c>
      <c r="G14" s="134">
        <f t="shared" si="1"/>
        <v>966000</v>
      </c>
      <c r="H14" s="135" t="s">
        <v>12</v>
      </c>
      <c r="I14" s="136">
        <v>987263526365</v>
      </c>
      <c r="J14" s="136">
        <v>926037407922502</v>
      </c>
      <c r="K14" s="138" t="s">
        <v>15</v>
      </c>
      <c r="L14" s="136" t="s">
        <v>27</v>
      </c>
      <c r="M14" s="138" t="s">
        <v>124</v>
      </c>
    </row>
    <row r="15" spans="1:13" x14ac:dyDescent="0.35">
      <c r="A15" s="131">
        <v>11</v>
      </c>
      <c r="B15" s="132">
        <v>46056</v>
      </c>
      <c r="C15" s="132">
        <v>46057</v>
      </c>
      <c r="D15" s="133">
        <v>0.83333333333333337</v>
      </c>
      <c r="E15" s="133">
        <v>0.33333333333333331</v>
      </c>
      <c r="F15" s="134">
        <v>134000</v>
      </c>
      <c r="G15" s="134">
        <f t="shared" si="1"/>
        <v>134000</v>
      </c>
      <c r="H15" s="135" t="s">
        <v>12</v>
      </c>
      <c r="I15" s="136">
        <v>987263526365</v>
      </c>
      <c r="J15" s="136">
        <v>926037407922502</v>
      </c>
      <c r="K15" s="138" t="s">
        <v>149</v>
      </c>
      <c r="L15" s="136" t="s">
        <v>27</v>
      </c>
      <c r="M15" s="138" t="s">
        <v>22</v>
      </c>
    </row>
    <row r="16" spans="1:13" x14ac:dyDescent="0.35">
      <c r="A16" s="131">
        <v>12</v>
      </c>
      <c r="B16" s="132">
        <v>46056</v>
      </c>
      <c r="C16" s="132">
        <v>46026</v>
      </c>
      <c r="D16" s="133">
        <v>0.83333333333333337</v>
      </c>
      <c r="E16" s="133">
        <v>0.33333333333333331</v>
      </c>
      <c r="F16" s="134">
        <v>411000</v>
      </c>
      <c r="G16" s="134">
        <f t="shared" si="1"/>
        <v>411000</v>
      </c>
      <c r="H16" s="135" t="s">
        <v>12</v>
      </c>
      <c r="I16" s="136">
        <v>987263526365</v>
      </c>
      <c r="J16" s="136">
        <v>926037407922502</v>
      </c>
      <c r="K16" s="138" t="s">
        <v>20</v>
      </c>
      <c r="L16" s="136" t="s">
        <v>27</v>
      </c>
      <c r="M16" s="138" t="s">
        <v>124</v>
      </c>
    </row>
    <row r="17" spans="1:13" x14ac:dyDescent="0.35">
      <c r="A17" s="131">
        <v>13</v>
      </c>
      <c r="B17" s="132">
        <v>46057</v>
      </c>
      <c r="C17" s="132">
        <v>46057</v>
      </c>
      <c r="D17" s="133">
        <v>0.33333333333333331</v>
      </c>
      <c r="E17" s="133">
        <v>0.83333333333333337</v>
      </c>
      <c r="F17" s="134">
        <v>229000</v>
      </c>
      <c r="G17" s="134">
        <f t="shared" si="1"/>
        <v>229000</v>
      </c>
      <c r="H17" s="135" t="s">
        <v>12</v>
      </c>
      <c r="I17" s="136">
        <v>987263536897</v>
      </c>
      <c r="J17" s="136">
        <v>926038408119573</v>
      </c>
      <c r="K17" s="138" t="s">
        <v>25</v>
      </c>
      <c r="L17" s="136" t="s">
        <v>27</v>
      </c>
      <c r="M17" s="138" t="s">
        <v>22</v>
      </c>
    </row>
    <row r="18" spans="1:13" x14ac:dyDescent="0.35">
      <c r="A18" s="131">
        <v>14</v>
      </c>
      <c r="B18" s="132">
        <v>46057</v>
      </c>
      <c r="C18" s="132">
        <v>46057</v>
      </c>
      <c r="D18" s="133">
        <v>0.33333333333333331</v>
      </c>
      <c r="E18" s="133">
        <v>0.83333333333333337</v>
      </c>
      <c r="F18" s="134">
        <v>925000</v>
      </c>
      <c r="G18" s="134">
        <f t="shared" si="1"/>
        <v>925000</v>
      </c>
      <c r="H18" s="135" t="s">
        <v>12</v>
      </c>
      <c r="I18" s="136">
        <v>987263536897</v>
      </c>
      <c r="J18" s="136">
        <v>926038408119573</v>
      </c>
      <c r="K18" s="138" t="s">
        <v>24</v>
      </c>
      <c r="L18" s="136" t="s">
        <v>27</v>
      </c>
      <c r="M18" s="138" t="s">
        <v>124</v>
      </c>
    </row>
    <row r="19" spans="1:13" x14ac:dyDescent="0.35">
      <c r="A19" s="131">
        <v>15</v>
      </c>
      <c r="B19" s="132">
        <v>46057</v>
      </c>
      <c r="C19" s="132">
        <v>46058</v>
      </c>
      <c r="D19" s="133">
        <v>0.83333333333333337</v>
      </c>
      <c r="E19" s="133">
        <v>0.33333333333333331</v>
      </c>
      <c r="F19" s="134">
        <v>181000</v>
      </c>
      <c r="G19" s="134">
        <f t="shared" si="1"/>
        <v>181000</v>
      </c>
      <c r="H19" s="135" t="s">
        <v>12</v>
      </c>
      <c r="I19" s="136">
        <v>987263536897</v>
      </c>
      <c r="J19" s="136">
        <v>926038408119573</v>
      </c>
      <c r="K19" s="138" t="s">
        <v>16</v>
      </c>
      <c r="L19" s="136" t="s">
        <v>27</v>
      </c>
      <c r="M19" s="138" t="s">
        <v>22</v>
      </c>
    </row>
    <row r="20" spans="1:13" x14ac:dyDescent="0.35">
      <c r="A20" s="131">
        <v>16</v>
      </c>
      <c r="B20" s="132">
        <v>46057</v>
      </c>
      <c r="C20" s="132">
        <v>46058</v>
      </c>
      <c r="D20" s="133">
        <v>0.83333333333333337</v>
      </c>
      <c r="E20" s="133">
        <v>0.33333333333333331</v>
      </c>
      <c r="F20" s="134">
        <v>531000</v>
      </c>
      <c r="G20" s="134">
        <f t="shared" si="1"/>
        <v>531000</v>
      </c>
      <c r="H20" s="135" t="s">
        <v>12</v>
      </c>
      <c r="I20" s="136">
        <v>987263536897</v>
      </c>
      <c r="J20" s="136">
        <v>926038408119573</v>
      </c>
      <c r="K20" s="138" t="s">
        <v>15</v>
      </c>
      <c r="L20" s="136" t="s">
        <v>27</v>
      </c>
      <c r="M20" s="138" t="s">
        <v>124</v>
      </c>
    </row>
    <row r="21" spans="1:13" x14ac:dyDescent="0.35">
      <c r="A21" s="131">
        <v>17</v>
      </c>
      <c r="B21" s="132">
        <v>46058</v>
      </c>
      <c r="C21" s="132">
        <v>46058</v>
      </c>
      <c r="D21" s="133">
        <v>0.33333333333333331</v>
      </c>
      <c r="E21" s="133">
        <v>0.83333333333333337</v>
      </c>
      <c r="F21" s="134">
        <v>173000</v>
      </c>
      <c r="G21" s="134">
        <f t="shared" si="1"/>
        <v>173000</v>
      </c>
      <c r="H21" s="135" t="s">
        <v>12</v>
      </c>
      <c r="I21" s="136">
        <v>987263547034</v>
      </c>
      <c r="J21" s="136">
        <v>926039408342339</v>
      </c>
      <c r="K21" s="138" t="s">
        <v>25</v>
      </c>
      <c r="L21" s="136" t="s">
        <v>27</v>
      </c>
      <c r="M21" s="138" t="s">
        <v>22</v>
      </c>
    </row>
    <row r="22" spans="1:13" x14ac:dyDescent="0.35">
      <c r="A22" s="131">
        <v>18</v>
      </c>
      <c r="B22" s="132">
        <v>46058</v>
      </c>
      <c r="C22" s="132">
        <v>46027</v>
      </c>
      <c r="D22" s="133">
        <v>0.33333333333333331</v>
      </c>
      <c r="E22" s="133">
        <v>0.83333333333333337</v>
      </c>
      <c r="F22" s="134">
        <v>978000</v>
      </c>
      <c r="G22" s="134">
        <f t="shared" si="1"/>
        <v>978000</v>
      </c>
      <c r="H22" s="135" t="s">
        <v>12</v>
      </c>
      <c r="I22" s="136">
        <v>987263547034</v>
      </c>
      <c r="J22" s="136">
        <v>926039408342339</v>
      </c>
      <c r="K22" s="138" t="s">
        <v>24</v>
      </c>
      <c r="L22" s="136" t="s">
        <v>27</v>
      </c>
      <c r="M22" s="138" t="s">
        <v>124</v>
      </c>
    </row>
    <row r="23" spans="1:13" x14ac:dyDescent="0.35">
      <c r="A23" s="131">
        <v>19</v>
      </c>
      <c r="B23" s="132">
        <v>46058</v>
      </c>
      <c r="C23" s="132">
        <v>46059</v>
      </c>
      <c r="D23" s="133">
        <v>0.83333333333333337</v>
      </c>
      <c r="E23" s="133">
        <v>0.33333333333333331</v>
      </c>
      <c r="F23" s="134">
        <v>150000</v>
      </c>
      <c r="G23" s="134">
        <v>160000</v>
      </c>
      <c r="H23" s="135" t="s">
        <v>12</v>
      </c>
      <c r="I23" s="136">
        <v>987263547034</v>
      </c>
      <c r="J23" s="136">
        <v>926039408342339</v>
      </c>
      <c r="K23" s="138" t="s">
        <v>16</v>
      </c>
      <c r="L23" s="136" t="s">
        <v>27</v>
      </c>
      <c r="M23" s="138" t="s">
        <v>22</v>
      </c>
    </row>
    <row r="24" spans="1:13" x14ac:dyDescent="0.35">
      <c r="A24" s="131">
        <v>20</v>
      </c>
      <c r="B24" s="132">
        <v>46058</v>
      </c>
      <c r="C24" s="132">
        <v>46059</v>
      </c>
      <c r="D24" s="133">
        <v>0.83333333333333337</v>
      </c>
      <c r="E24" s="133">
        <v>0.33333333333333331</v>
      </c>
      <c r="F24" s="134">
        <v>597000</v>
      </c>
      <c r="G24" s="134">
        <f t="shared" si="1"/>
        <v>597000</v>
      </c>
      <c r="H24" s="135" t="s">
        <v>12</v>
      </c>
      <c r="I24" s="136">
        <v>987263547034</v>
      </c>
      <c r="J24" s="136">
        <v>926039408342339</v>
      </c>
      <c r="K24" s="138" t="s">
        <v>15</v>
      </c>
      <c r="L24" s="136" t="s">
        <v>27</v>
      </c>
      <c r="M24" s="138" t="s">
        <v>124</v>
      </c>
    </row>
    <row r="25" spans="1:13" x14ac:dyDescent="0.35">
      <c r="A25" s="131">
        <v>21</v>
      </c>
      <c r="B25" s="132">
        <v>46059</v>
      </c>
      <c r="C25" s="132">
        <v>46059</v>
      </c>
      <c r="D25" s="133">
        <v>0.33333333333333331</v>
      </c>
      <c r="E25" s="133">
        <v>0.83333333333333337</v>
      </c>
      <c r="F25" s="134">
        <v>164000</v>
      </c>
      <c r="G25" s="134">
        <f t="shared" si="1"/>
        <v>164000</v>
      </c>
      <c r="H25" s="135" t="s">
        <v>12</v>
      </c>
      <c r="I25" s="136">
        <v>987263567593</v>
      </c>
      <c r="J25" s="136">
        <v>926041408916972</v>
      </c>
      <c r="K25" s="138" t="s">
        <v>149</v>
      </c>
      <c r="L25" s="136" t="s">
        <v>27</v>
      </c>
      <c r="M25" s="138" t="s">
        <v>22</v>
      </c>
    </row>
    <row r="26" spans="1:13" x14ac:dyDescent="0.35">
      <c r="A26" s="131">
        <v>22</v>
      </c>
      <c r="B26" s="132">
        <v>46059</v>
      </c>
      <c r="C26" s="132">
        <v>46059</v>
      </c>
      <c r="D26" s="133">
        <v>0.33333333333333331</v>
      </c>
      <c r="E26" s="133">
        <v>0.83333333333333337</v>
      </c>
      <c r="F26" s="134">
        <v>1215000</v>
      </c>
      <c r="G26" s="134">
        <f t="shared" si="1"/>
        <v>1215000</v>
      </c>
      <c r="H26" s="135" t="s">
        <v>12</v>
      </c>
      <c r="I26" s="136">
        <v>987263567593</v>
      </c>
      <c r="J26" s="136">
        <v>926041408916972</v>
      </c>
      <c r="K26" s="138" t="s">
        <v>20</v>
      </c>
      <c r="L26" s="136" t="s">
        <v>27</v>
      </c>
      <c r="M26" s="138" t="s">
        <v>124</v>
      </c>
    </row>
    <row r="27" spans="1:13" x14ac:dyDescent="0.35">
      <c r="A27" s="131">
        <v>23</v>
      </c>
      <c r="B27" s="132">
        <v>46059</v>
      </c>
      <c r="C27" s="132">
        <v>46060</v>
      </c>
      <c r="D27" s="133">
        <v>0.83333333333333337</v>
      </c>
      <c r="E27" s="133">
        <v>0.33333333333333331</v>
      </c>
      <c r="F27" s="134">
        <v>175000</v>
      </c>
      <c r="G27" s="134">
        <f t="shared" si="1"/>
        <v>175000</v>
      </c>
      <c r="H27" s="135" t="s">
        <v>12</v>
      </c>
      <c r="I27" s="136">
        <v>987263567593</v>
      </c>
      <c r="J27" s="136">
        <v>926041408916972</v>
      </c>
      <c r="K27" s="138" t="s">
        <v>25</v>
      </c>
      <c r="L27" s="136" t="s">
        <v>27</v>
      </c>
      <c r="M27" s="138" t="s">
        <v>150</v>
      </c>
    </row>
    <row r="28" spans="1:13" x14ac:dyDescent="0.35">
      <c r="A28" s="131">
        <v>24</v>
      </c>
      <c r="B28" s="132">
        <v>46059</v>
      </c>
      <c r="C28" s="132">
        <v>46029</v>
      </c>
      <c r="D28" s="133">
        <v>0.83333333333333337</v>
      </c>
      <c r="E28" s="133">
        <v>0.33333333333333331</v>
      </c>
      <c r="F28" s="134">
        <v>666000</v>
      </c>
      <c r="G28" s="134">
        <f t="shared" si="1"/>
        <v>666000</v>
      </c>
      <c r="H28" s="135" t="s">
        <v>12</v>
      </c>
      <c r="I28" s="136">
        <v>987263567593</v>
      </c>
      <c r="J28" s="136">
        <v>926041408916972</v>
      </c>
      <c r="K28" s="138" t="s">
        <v>24</v>
      </c>
      <c r="L28" s="136" t="s">
        <v>27</v>
      </c>
      <c r="M28" s="138" t="s">
        <v>124</v>
      </c>
    </row>
    <row r="29" spans="1:13" x14ac:dyDescent="0.35">
      <c r="A29" s="131">
        <v>25</v>
      </c>
      <c r="B29" s="132">
        <v>46060</v>
      </c>
      <c r="C29" s="132">
        <v>46060</v>
      </c>
      <c r="D29" s="133">
        <v>0.33333333333333331</v>
      </c>
      <c r="E29" s="133">
        <v>0.83333333333333337</v>
      </c>
      <c r="F29" s="134">
        <v>328000</v>
      </c>
      <c r="G29" s="134">
        <f t="shared" si="1"/>
        <v>328000</v>
      </c>
      <c r="H29" s="135" t="s">
        <v>12</v>
      </c>
      <c r="I29" s="136">
        <v>987263567601</v>
      </c>
      <c r="J29" s="136">
        <v>926041408916612</v>
      </c>
      <c r="K29" s="138" t="s">
        <v>149</v>
      </c>
      <c r="L29" s="136" t="s">
        <v>27</v>
      </c>
      <c r="M29" s="138" t="s">
        <v>22</v>
      </c>
    </row>
    <row r="30" spans="1:13" x14ac:dyDescent="0.35">
      <c r="A30" s="131">
        <v>26</v>
      </c>
      <c r="B30" s="132">
        <v>46060</v>
      </c>
      <c r="C30" s="132">
        <v>46060</v>
      </c>
      <c r="D30" s="133">
        <v>0.33333333333333331</v>
      </c>
      <c r="E30" s="133">
        <v>0.83333333333333337</v>
      </c>
      <c r="F30" s="134">
        <v>1254000</v>
      </c>
      <c r="G30" s="134">
        <f t="shared" si="1"/>
        <v>1254000</v>
      </c>
      <c r="H30" s="135" t="s">
        <v>12</v>
      </c>
      <c r="I30" s="136">
        <v>987263567601</v>
      </c>
      <c r="J30" s="136">
        <v>926041408916612</v>
      </c>
      <c r="K30" s="138" t="s">
        <v>20</v>
      </c>
      <c r="L30" s="136" t="s">
        <v>27</v>
      </c>
      <c r="M30" s="138" t="s">
        <v>124</v>
      </c>
    </row>
    <row r="31" spans="1:13" x14ac:dyDescent="0.35">
      <c r="A31" s="131">
        <v>27</v>
      </c>
      <c r="B31" s="132">
        <v>46060</v>
      </c>
      <c r="C31" s="132">
        <v>46061</v>
      </c>
      <c r="D31" s="133">
        <v>0.83333333333333337</v>
      </c>
      <c r="E31" s="133">
        <v>0.33333333333333331</v>
      </c>
      <c r="F31" s="134">
        <v>85000</v>
      </c>
      <c r="G31" s="134">
        <f t="shared" si="1"/>
        <v>85000</v>
      </c>
      <c r="H31" s="135" t="s">
        <v>12</v>
      </c>
      <c r="I31" s="136">
        <v>987263567601</v>
      </c>
      <c r="J31" s="136">
        <v>926041408916612</v>
      </c>
      <c r="K31" s="138" t="s">
        <v>25</v>
      </c>
      <c r="L31" s="136" t="s">
        <v>27</v>
      </c>
      <c r="M31" s="138" t="s">
        <v>22</v>
      </c>
    </row>
    <row r="32" spans="1:13" x14ac:dyDescent="0.35">
      <c r="A32" s="131">
        <v>28</v>
      </c>
      <c r="B32" s="132">
        <v>46060</v>
      </c>
      <c r="C32" s="132">
        <v>46061</v>
      </c>
      <c r="D32" s="133">
        <v>0.83333333333333337</v>
      </c>
      <c r="E32" s="133">
        <v>0.33333333333333331</v>
      </c>
      <c r="F32" s="134">
        <v>639000</v>
      </c>
      <c r="G32" s="134">
        <f t="shared" si="1"/>
        <v>639000</v>
      </c>
      <c r="H32" s="135" t="s">
        <v>12</v>
      </c>
      <c r="I32" s="136">
        <v>987263567601</v>
      </c>
      <c r="J32" s="136">
        <v>926041408916612</v>
      </c>
      <c r="K32" s="138" t="s">
        <v>24</v>
      </c>
      <c r="L32" s="136" t="s">
        <v>27</v>
      </c>
      <c r="M32" s="138" t="s">
        <v>124</v>
      </c>
    </row>
    <row r="33" spans="1:13" x14ac:dyDescent="0.35">
      <c r="A33" s="131">
        <v>29</v>
      </c>
      <c r="B33" s="132">
        <v>46061</v>
      </c>
      <c r="C33" s="132">
        <v>46061</v>
      </c>
      <c r="D33" s="133">
        <v>0.33333333333333331</v>
      </c>
      <c r="E33" s="133">
        <v>0.83333333333333337</v>
      </c>
      <c r="F33" s="134">
        <v>641000</v>
      </c>
      <c r="G33" s="134">
        <f t="shared" si="1"/>
        <v>641000</v>
      </c>
      <c r="H33" s="135" t="s">
        <v>12</v>
      </c>
      <c r="I33" s="136">
        <v>987263567611</v>
      </c>
      <c r="J33" s="136">
        <v>926042409330982</v>
      </c>
      <c r="K33" s="138" t="s">
        <v>16</v>
      </c>
      <c r="L33" s="136" t="s">
        <v>27</v>
      </c>
      <c r="M33" s="138" t="s">
        <v>22</v>
      </c>
    </row>
    <row r="34" spans="1:13" x14ac:dyDescent="0.35">
      <c r="A34" s="131">
        <v>30</v>
      </c>
      <c r="B34" s="132">
        <v>46061</v>
      </c>
      <c r="C34" s="132">
        <v>46061</v>
      </c>
      <c r="D34" s="133">
        <v>0.33333333333333331</v>
      </c>
      <c r="E34" s="133">
        <v>0.83333333333333337</v>
      </c>
      <c r="F34" s="134">
        <v>1178000</v>
      </c>
      <c r="G34" s="134">
        <f t="shared" si="1"/>
        <v>1178000</v>
      </c>
      <c r="H34" s="135" t="s">
        <v>12</v>
      </c>
      <c r="I34" s="136">
        <v>987263567611</v>
      </c>
      <c r="J34" s="136">
        <v>926042409330982</v>
      </c>
      <c r="K34" s="138" t="s">
        <v>15</v>
      </c>
      <c r="L34" s="136" t="s">
        <v>27</v>
      </c>
      <c r="M34" s="138" t="s">
        <v>124</v>
      </c>
    </row>
    <row r="35" spans="1:13" x14ac:dyDescent="0.35">
      <c r="A35" s="131">
        <v>31</v>
      </c>
      <c r="B35" s="132">
        <v>46061</v>
      </c>
      <c r="C35" s="132">
        <v>46062</v>
      </c>
      <c r="D35" s="133">
        <v>0.83333333333333337</v>
      </c>
      <c r="E35" s="133">
        <v>0.33333333333333331</v>
      </c>
      <c r="F35" s="134">
        <v>142000</v>
      </c>
      <c r="G35" s="134">
        <f t="shared" si="1"/>
        <v>142000</v>
      </c>
      <c r="H35" s="135" t="s">
        <v>12</v>
      </c>
      <c r="I35" s="136">
        <v>987263567611</v>
      </c>
      <c r="J35" s="136">
        <v>926042409330982</v>
      </c>
      <c r="K35" s="138" t="s">
        <v>149</v>
      </c>
      <c r="L35" s="136" t="s">
        <v>27</v>
      </c>
      <c r="M35" s="138" t="s">
        <v>22</v>
      </c>
    </row>
    <row r="36" spans="1:13" x14ac:dyDescent="0.35">
      <c r="A36" s="131">
        <v>32</v>
      </c>
      <c r="B36" s="132">
        <v>46061</v>
      </c>
      <c r="C36" s="132">
        <v>46062</v>
      </c>
      <c r="D36" s="133">
        <v>0.83333333333333337</v>
      </c>
      <c r="E36" s="133">
        <v>0.33333333333333331</v>
      </c>
      <c r="F36" s="134">
        <v>585000</v>
      </c>
      <c r="G36" s="134">
        <f t="shared" si="1"/>
        <v>585000</v>
      </c>
      <c r="H36" s="135" t="s">
        <v>12</v>
      </c>
      <c r="I36" s="136">
        <v>987263567611</v>
      </c>
      <c r="J36" s="136">
        <v>926042409330982</v>
      </c>
      <c r="K36" s="138" t="s">
        <v>20</v>
      </c>
      <c r="L36" s="136" t="s">
        <v>27</v>
      </c>
      <c r="M36" s="138" t="s">
        <v>124</v>
      </c>
    </row>
    <row r="37" spans="1:13" x14ac:dyDescent="0.35">
      <c r="A37" s="131">
        <v>33</v>
      </c>
      <c r="B37" s="132">
        <v>46062</v>
      </c>
      <c r="C37" s="132">
        <v>46062</v>
      </c>
      <c r="D37" s="133">
        <v>0.33333333333333331</v>
      </c>
      <c r="E37" s="133">
        <v>0.83333333333333337</v>
      </c>
      <c r="F37" s="134">
        <v>394000</v>
      </c>
      <c r="G37" s="134">
        <f t="shared" si="1"/>
        <v>394000</v>
      </c>
      <c r="H37" s="135" t="s">
        <v>12</v>
      </c>
      <c r="I37" s="136">
        <v>987263609448</v>
      </c>
      <c r="J37" s="136">
        <v>926045410147023</v>
      </c>
      <c r="K37" s="138" t="s">
        <v>16</v>
      </c>
      <c r="L37" s="136" t="s">
        <v>27</v>
      </c>
      <c r="M37" s="138" t="s">
        <v>22</v>
      </c>
    </row>
    <row r="38" spans="1:13" x14ac:dyDescent="0.35">
      <c r="A38" s="131">
        <v>34</v>
      </c>
      <c r="B38" s="132">
        <v>46062</v>
      </c>
      <c r="C38" s="132">
        <v>46062</v>
      </c>
      <c r="D38" s="133">
        <v>0.33333333333333331</v>
      </c>
      <c r="E38" s="133">
        <v>0.83333333333333337</v>
      </c>
      <c r="F38" s="134">
        <v>1482000</v>
      </c>
      <c r="G38" s="134">
        <f t="shared" si="1"/>
        <v>1482000</v>
      </c>
      <c r="H38" s="135" t="s">
        <v>12</v>
      </c>
      <c r="I38" s="136">
        <v>987263609448</v>
      </c>
      <c r="J38" s="136">
        <v>926045410147023</v>
      </c>
      <c r="K38" s="138" t="s">
        <v>15</v>
      </c>
      <c r="L38" s="136" t="s">
        <v>27</v>
      </c>
      <c r="M38" s="138" t="s">
        <v>124</v>
      </c>
    </row>
    <row r="39" spans="1:13" x14ac:dyDescent="0.35">
      <c r="A39" s="131">
        <v>35</v>
      </c>
      <c r="B39" s="132">
        <v>46062</v>
      </c>
      <c r="C39" s="132">
        <v>46063</v>
      </c>
      <c r="D39" s="133">
        <v>0.83333333333333337</v>
      </c>
      <c r="E39" s="133">
        <v>0.33333333333333331</v>
      </c>
      <c r="F39" s="134">
        <v>186000</v>
      </c>
      <c r="G39" s="134">
        <f t="shared" si="1"/>
        <v>186000</v>
      </c>
      <c r="H39" s="135" t="s">
        <v>12</v>
      </c>
      <c r="I39" s="136">
        <v>987263609448</v>
      </c>
      <c r="J39" s="136">
        <v>926045410147023</v>
      </c>
      <c r="K39" s="138" t="s">
        <v>149</v>
      </c>
      <c r="L39" s="136" t="s">
        <v>27</v>
      </c>
      <c r="M39" s="138" t="s">
        <v>22</v>
      </c>
    </row>
    <row r="40" spans="1:13" x14ac:dyDescent="0.35">
      <c r="A40" s="131">
        <v>36</v>
      </c>
      <c r="B40" s="132">
        <v>46062</v>
      </c>
      <c r="C40" s="132">
        <v>46063</v>
      </c>
      <c r="D40" s="133">
        <v>0.83333333333333337</v>
      </c>
      <c r="E40" s="133">
        <v>0.33333333333333331</v>
      </c>
      <c r="F40" s="134">
        <v>516000</v>
      </c>
      <c r="G40" s="134">
        <f t="shared" si="1"/>
        <v>516000</v>
      </c>
      <c r="H40" s="135" t="s">
        <v>12</v>
      </c>
      <c r="I40" s="136">
        <v>987263609448</v>
      </c>
      <c r="J40" s="136">
        <v>926045410147023</v>
      </c>
      <c r="K40" s="138" t="s">
        <v>20</v>
      </c>
      <c r="L40" s="136" t="s">
        <v>27</v>
      </c>
      <c r="M40" s="138" t="s">
        <v>124</v>
      </c>
    </row>
    <row r="41" spans="1:13" x14ac:dyDescent="0.35">
      <c r="A41" s="131">
        <v>37</v>
      </c>
      <c r="B41" s="132">
        <v>46063</v>
      </c>
      <c r="C41" s="132">
        <v>46063</v>
      </c>
      <c r="D41" s="133">
        <v>0.33333333333333331</v>
      </c>
      <c r="E41" s="133">
        <v>0.83333333333333337</v>
      </c>
      <c r="F41" s="134">
        <v>324000</v>
      </c>
      <c r="G41" s="134">
        <f t="shared" si="1"/>
        <v>324000</v>
      </c>
      <c r="H41" s="135" t="s">
        <v>12</v>
      </c>
      <c r="I41" s="136">
        <v>987263609453</v>
      </c>
      <c r="J41" s="136">
        <v>926045410148103</v>
      </c>
      <c r="K41" s="138" t="s">
        <v>25</v>
      </c>
      <c r="L41" s="136" t="s">
        <v>27</v>
      </c>
      <c r="M41" s="138" t="s">
        <v>22</v>
      </c>
    </row>
    <row r="42" spans="1:13" x14ac:dyDescent="0.35">
      <c r="A42" s="131">
        <v>38</v>
      </c>
      <c r="B42" s="132">
        <v>46063</v>
      </c>
      <c r="C42" s="132">
        <v>46063</v>
      </c>
      <c r="D42" s="133">
        <v>0.33333333333333331</v>
      </c>
      <c r="E42" s="133">
        <v>0.83333333333333337</v>
      </c>
      <c r="F42" s="134">
        <v>1266000</v>
      </c>
      <c r="G42" s="134">
        <f t="shared" si="1"/>
        <v>1266000</v>
      </c>
      <c r="H42" s="135" t="s">
        <v>12</v>
      </c>
      <c r="I42" s="136">
        <v>987263609453</v>
      </c>
      <c r="J42" s="136">
        <v>926045410148103</v>
      </c>
      <c r="K42" s="138" t="s">
        <v>24</v>
      </c>
      <c r="L42" s="136" t="s">
        <v>27</v>
      </c>
      <c r="M42" s="138" t="s">
        <v>124</v>
      </c>
    </row>
    <row r="43" spans="1:13" x14ac:dyDescent="0.35">
      <c r="A43" s="131">
        <v>39</v>
      </c>
      <c r="B43" s="132">
        <v>46063</v>
      </c>
      <c r="C43" s="132">
        <v>46064</v>
      </c>
      <c r="D43" s="133">
        <v>0.83333333333333337</v>
      </c>
      <c r="E43" s="133">
        <v>0.33333333333333331</v>
      </c>
      <c r="F43" s="134">
        <v>151000</v>
      </c>
      <c r="G43" s="134">
        <f t="shared" si="1"/>
        <v>151000</v>
      </c>
      <c r="H43" s="135" t="s">
        <v>12</v>
      </c>
      <c r="I43" s="136">
        <v>987263609453</v>
      </c>
      <c r="J43" s="136">
        <v>926045410148103</v>
      </c>
      <c r="K43" s="138" t="s">
        <v>16</v>
      </c>
      <c r="L43" s="136" t="s">
        <v>27</v>
      </c>
      <c r="M43" s="138" t="s">
        <v>22</v>
      </c>
    </row>
    <row r="44" spans="1:13" x14ac:dyDescent="0.35">
      <c r="A44" s="131">
        <v>40</v>
      </c>
      <c r="B44" s="132">
        <v>46063</v>
      </c>
      <c r="C44" s="132">
        <v>46064</v>
      </c>
      <c r="D44" s="133">
        <v>0.83333333333333337</v>
      </c>
      <c r="E44" s="133">
        <v>0.33333333333333331</v>
      </c>
      <c r="F44" s="134">
        <v>485000</v>
      </c>
      <c r="G44" s="134">
        <f t="shared" si="1"/>
        <v>485000</v>
      </c>
      <c r="H44" s="135" t="s">
        <v>12</v>
      </c>
      <c r="I44" s="136">
        <v>987263609453</v>
      </c>
      <c r="J44" s="136">
        <v>926045410148103</v>
      </c>
      <c r="K44" s="138" t="s">
        <v>15</v>
      </c>
      <c r="L44" s="136" t="s">
        <v>27</v>
      </c>
      <c r="M44" s="138" t="s">
        <v>13</v>
      </c>
    </row>
    <row r="45" spans="1:13" x14ac:dyDescent="0.35">
      <c r="A45" s="131">
        <v>41</v>
      </c>
      <c r="B45" s="132">
        <v>46064</v>
      </c>
      <c r="C45" s="132">
        <v>46064</v>
      </c>
      <c r="D45" s="133">
        <v>0.33333333333333331</v>
      </c>
      <c r="E45" s="133">
        <v>0.83333333333333337</v>
      </c>
      <c r="F45" s="134">
        <v>186000</v>
      </c>
      <c r="G45" s="134">
        <f t="shared" si="1"/>
        <v>186000</v>
      </c>
      <c r="H45" s="135" t="s">
        <v>12</v>
      </c>
      <c r="I45" s="136">
        <v>987263600510</v>
      </c>
      <c r="J45" s="136">
        <v>926045410147996</v>
      </c>
      <c r="K45" s="138" t="s">
        <v>25</v>
      </c>
      <c r="L45" s="136" t="s">
        <v>27</v>
      </c>
      <c r="M45" s="138" t="s">
        <v>22</v>
      </c>
    </row>
    <row r="46" spans="1:13" x14ac:dyDescent="0.35">
      <c r="A46" s="131">
        <v>42</v>
      </c>
      <c r="B46" s="132">
        <v>46064</v>
      </c>
      <c r="C46" s="132">
        <v>46064</v>
      </c>
      <c r="D46" s="133">
        <v>0.33333333333333331</v>
      </c>
      <c r="E46" s="133">
        <v>0.83333333333333337</v>
      </c>
      <c r="F46" s="134">
        <v>939000</v>
      </c>
      <c r="G46" s="134">
        <f t="shared" si="1"/>
        <v>939000</v>
      </c>
      <c r="H46" s="135" t="s">
        <v>12</v>
      </c>
      <c r="I46" s="136">
        <v>987263600510</v>
      </c>
      <c r="J46" s="136">
        <v>926045410147996</v>
      </c>
      <c r="K46" s="138" t="s">
        <v>24</v>
      </c>
      <c r="L46" s="136" t="s">
        <v>27</v>
      </c>
      <c r="M46" s="138" t="s">
        <v>13</v>
      </c>
    </row>
    <row r="47" spans="1:13" x14ac:dyDescent="0.35">
      <c r="A47" s="131">
        <v>43</v>
      </c>
      <c r="B47" s="132">
        <v>46064</v>
      </c>
      <c r="C47" s="132">
        <v>46065</v>
      </c>
      <c r="D47" s="133">
        <v>0.83333333333333337</v>
      </c>
      <c r="E47" s="133">
        <v>0.33333333333333331</v>
      </c>
      <c r="F47" s="134">
        <v>172000</v>
      </c>
      <c r="G47" s="134">
        <f t="shared" si="1"/>
        <v>172000</v>
      </c>
      <c r="H47" s="135" t="s">
        <v>12</v>
      </c>
      <c r="I47" s="136">
        <v>987263600510</v>
      </c>
      <c r="J47" s="136">
        <v>926045410147996</v>
      </c>
      <c r="K47" s="138" t="s">
        <v>16</v>
      </c>
      <c r="L47" s="136" t="s">
        <v>27</v>
      </c>
      <c r="M47" s="138" t="s">
        <v>22</v>
      </c>
    </row>
    <row r="48" spans="1:13" x14ac:dyDescent="0.35">
      <c r="A48" s="131">
        <v>44</v>
      </c>
      <c r="B48" s="132">
        <v>46064</v>
      </c>
      <c r="C48" s="132">
        <v>46065</v>
      </c>
      <c r="D48" s="133">
        <v>0.83333333333333337</v>
      </c>
      <c r="E48" s="133">
        <v>0.33333333333333331</v>
      </c>
      <c r="F48" s="134">
        <v>522000</v>
      </c>
      <c r="G48" s="134">
        <f t="shared" si="1"/>
        <v>522000</v>
      </c>
      <c r="H48" s="135" t="s">
        <v>12</v>
      </c>
      <c r="I48" s="136">
        <v>987263600510</v>
      </c>
      <c r="J48" s="136">
        <v>926045410147996</v>
      </c>
      <c r="K48" s="138" t="s">
        <v>15</v>
      </c>
      <c r="L48" s="136" t="s">
        <v>27</v>
      </c>
      <c r="M48" s="138" t="s">
        <v>13</v>
      </c>
    </row>
    <row r="49" spans="1:13" x14ac:dyDescent="0.35">
      <c r="A49" s="131">
        <v>45</v>
      </c>
      <c r="B49" s="132">
        <v>46065</v>
      </c>
      <c r="C49" s="132">
        <v>46065</v>
      </c>
      <c r="D49" s="133">
        <v>0.33333333333333331</v>
      </c>
      <c r="E49" s="133">
        <v>0.83333333333333337</v>
      </c>
      <c r="F49" s="152">
        <v>454000</v>
      </c>
      <c r="G49" s="152">
        <f t="shared" si="1"/>
        <v>454000</v>
      </c>
      <c r="H49" s="135" t="s">
        <v>12</v>
      </c>
      <c r="I49" s="136">
        <v>987263609444</v>
      </c>
      <c r="J49" s="136">
        <v>926046410366178</v>
      </c>
      <c r="K49" s="138" t="s">
        <v>149</v>
      </c>
      <c r="L49" s="136" t="s">
        <v>27</v>
      </c>
      <c r="M49" s="138" t="s">
        <v>22</v>
      </c>
    </row>
    <row r="50" spans="1:13" x14ac:dyDescent="0.35">
      <c r="A50" s="131">
        <v>46</v>
      </c>
      <c r="B50" s="132">
        <v>46065</v>
      </c>
      <c r="C50" s="132">
        <v>46065</v>
      </c>
      <c r="D50" s="133">
        <v>0.33333333333333331</v>
      </c>
      <c r="E50" s="133">
        <v>0.83333333333333337</v>
      </c>
      <c r="F50" s="134">
        <v>1088000</v>
      </c>
      <c r="G50" s="134">
        <f t="shared" si="1"/>
        <v>1088000</v>
      </c>
      <c r="H50" s="135" t="s">
        <v>12</v>
      </c>
      <c r="I50" s="136">
        <v>987263609444</v>
      </c>
      <c r="J50" s="136">
        <v>926046410366178</v>
      </c>
      <c r="K50" s="138" t="s">
        <v>20</v>
      </c>
      <c r="L50" s="136" t="s">
        <v>27</v>
      </c>
      <c r="M50" s="138" t="s">
        <v>13</v>
      </c>
    </row>
    <row r="51" spans="1:13" x14ac:dyDescent="0.35">
      <c r="A51" s="131">
        <v>47</v>
      </c>
      <c r="B51" s="132">
        <v>46065</v>
      </c>
      <c r="C51" s="132">
        <v>46066</v>
      </c>
      <c r="D51" s="133">
        <v>0.83333333333333337</v>
      </c>
      <c r="E51" s="133">
        <v>0.33333333333333331</v>
      </c>
      <c r="F51" s="134">
        <v>118000</v>
      </c>
      <c r="G51" s="134">
        <f t="shared" si="1"/>
        <v>118000</v>
      </c>
      <c r="H51" s="135" t="s">
        <v>12</v>
      </c>
      <c r="I51" s="136">
        <v>987263609444</v>
      </c>
      <c r="J51" s="136">
        <v>926046410366178</v>
      </c>
      <c r="K51" s="138" t="s">
        <v>25</v>
      </c>
      <c r="L51" s="136" t="s">
        <v>27</v>
      </c>
      <c r="M51" s="138" t="s">
        <v>22</v>
      </c>
    </row>
    <row r="52" spans="1:13" x14ac:dyDescent="0.35">
      <c r="A52" s="131">
        <v>48</v>
      </c>
      <c r="B52" s="132">
        <v>46034</v>
      </c>
      <c r="C52" s="132">
        <v>46066</v>
      </c>
      <c r="D52" s="133">
        <v>0.83333333333333337</v>
      </c>
      <c r="E52" s="133">
        <v>0.33333333333333331</v>
      </c>
      <c r="F52" s="134">
        <v>479000</v>
      </c>
      <c r="G52" s="134">
        <f t="shared" si="1"/>
        <v>479000</v>
      </c>
      <c r="H52" s="135" t="s">
        <v>12</v>
      </c>
      <c r="I52" s="136">
        <v>987263609444</v>
      </c>
      <c r="J52" s="136">
        <v>926046410366178</v>
      </c>
      <c r="K52" s="138" t="s">
        <v>24</v>
      </c>
      <c r="L52" s="136" t="s">
        <v>27</v>
      </c>
      <c r="M52" s="138" t="s">
        <v>13</v>
      </c>
    </row>
    <row r="53" spans="1:13" x14ac:dyDescent="0.35">
      <c r="A53" s="131">
        <v>49</v>
      </c>
      <c r="B53" s="132">
        <v>46035</v>
      </c>
      <c r="C53" s="132">
        <v>46066</v>
      </c>
      <c r="D53" s="133">
        <v>0.33333333333333331</v>
      </c>
      <c r="E53" s="133">
        <v>0.83333333333333337</v>
      </c>
      <c r="F53" s="134">
        <v>327000</v>
      </c>
      <c r="G53" s="134">
        <f t="shared" si="1"/>
        <v>327000</v>
      </c>
      <c r="H53" s="135" t="s">
        <v>12</v>
      </c>
      <c r="I53" s="136">
        <v>987263648780</v>
      </c>
      <c r="J53" s="136">
        <v>926051411947020</v>
      </c>
      <c r="K53" s="138" t="s">
        <v>149</v>
      </c>
      <c r="L53" s="136" t="s">
        <v>27</v>
      </c>
      <c r="M53" s="138" t="s">
        <v>22</v>
      </c>
    </row>
    <row r="54" spans="1:13" x14ac:dyDescent="0.35">
      <c r="A54" s="131">
        <v>50</v>
      </c>
      <c r="B54" s="132">
        <v>46066</v>
      </c>
      <c r="C54" s="132">
        <v>46066</v>
      </c>
      <c r="D54" s="133">
        <v>0.33333333333333331</v>
      </c>
      <c r="E54" s="133">
        <v>0.83333333333333337</v>
      </c>
      <c r="F54" s="134">
        <v>1340000</v>
      </c>
      <c r="G54" s="134">
        <f t="shared" si="1"/>
        <v>1340000</v>
      </c>
      <c r="H54" s="135" t="s">
        <v>12</v>
      </c>
      <c r="I54" s="136">
        <v>987263648780</v>
      </c>
      <c r="J54" s="136">
        <v>926051411947020</v>
      </c>
      <c r="K54" s="138" t="s">
        <v>20</v>
      </c>
      <c r="L54" s="136" t="s">
        <v>27</v>
      </c>
      <c r="M54" s="138" t="s">
        <v>13</v>
      </c>
    </row>
    <row r="55" spans="1:13" x14ac:dyDescent="0.35">
      <c r="A55" s="131">
        <v>51</v>
      </c>
      <c r="B55" s="132">
        <v>46066</v>
      </c>
      <c r="C55" s="132">
        <v>46067</v>
      </c>
      <c r="D55" s="133">
        <v>0.83333333333333337</v>
      </c>
      <c r="E55" s="133">
        <v>0.33333333333333331</v>
      </c>
      <c r="F55" s="134">
        <v>353000</v>
      </c>
      <c r="G55" s="134">
        <f t="shared" si="1"/>
        <v>353000</v>
      </c>
      <c r="H55" s="135" t="s">
        <v>12</v>
      </c>
      <c r="I55" s="136">
        <v>987263648780</v>
      </c>
      <c r="J55" s="136">
        <v>926051411947020</v>
      </c>
      <c r="K55" s="138" t="s">
        <v>25</v>
      </c>
      <c r="L55" s="136" t="s">
        <v>27</v>
      </c>
      <c r="M55" s="138" t="s">
        <v>22</v>
      </c>
    </row>
    <row r="56" spans="1:13" x14ac:dyDescent="0.35">
      <c r="A56" s="131">
        <v>52</v>
      </c>
      <c r="B56" s="132">
        <v>46066</v>
      </c>
      <c r="C56" s="132">
        <v>46067</v>
      </c>
      <c r="D56" s="133">
        <v>0.83333333333333337</v>
      </c>
      <c r="E56" s="133">
        <v>0.33333333333333331</v>
      </c>
      <c r="F56" s="134">
        <v>540000</v>
      </c>
      <c r="G56" s="134">
        <f t="shared" si="1"/>
        <v>540000</v>
      </c>
      <c r="H56" s="135" t="s">
        <v>12</v>
      </c>
      <c r="I56" s="136">
        <v>987263648780</v>
      </c>
      <c r="J56" s="136">
        <v>926051411947020</v>
      </c>
      <c r="K56" s="138" t="s">
        <v>24</v>
      </c>
      <c r="L56" s="136" t="s">
        <v>27</v>
      </c>
      <c r="M56" s="138" t="s">
        <v>13</v>
      </c>
    </row>
    <row r="57" spans="1:13" x14ac:dyDescent="0.35">
      <c r="A57" s="131">
        <v>53</v>
      </c>
      <c r="B57" s="132">
        <v>46067</v>
      </c>
      <c r="C57" s="132">
        <v>46067</v>
      </c>
      <c r="D57" s="133">
        <v>0.33333333333333331</v>
      </c>
      <c r="E57" s="133">
        <v>0.83333333333333337</v>
      </c>
      <c r="F57" s="134">
        <v>220000</v>
      </c>
      <c r="G57" s="134">
        <f t="shared" si="1"/>
        <v>220000</v>
      </c>
      <c r="H57" s="135" t="s">
        <v>12</v>
      </c>
      <c r="I57" s="136">
        <v>987263648788</v>
      </c>
      <c r="J57" s="136">
        <v>926051411949119</v>
      </c>
      <c r="K57" s="138" t="s">
        <v>16</v>
      </c>
      <c r="L57" s="136" t="s">
        <v>27</v>
      </c>
      <c r="M57" s="138" t="s">
        <v>22</v>
      </c>
    </row>
    <row r="58" spans="1:13" x14ac:dyDescent="0.35">
      <c r="A58" s="131">
        <v>54</v>
      </c>
      <c r="B58" s="132">
        <v>46067</v>
      </c>
      <c r="C58" s="132">
        <v>46067</v>
      </c>
      <c r="D58" s="133">
        <v>0.33333333333333331</v>
      </c>
      <c r="E58" s="133">
        <v>0.83333333333333337</v>
      </c>
      <c r="F58" s="134">
        <v>1107000</v>
      </c>
      <c r="G58" s="134">
        <f t="shared" si="1"/>
        <v>1107000</v>
      </c>
      <c r="H58" s="135" t="s">
        <v>12</v>
      </c>
      <c r="I58" s="136">
        <v>987263648788</v>
      </c>
      <c r="J58" s="136">
        <v>926051411949119</v>
      </c>
      <c r="K58" s="138" t="s">
        <v>15</v>
      </c>
      <c r="L58" s="136" t="s">
        <v>27</v>
      </c>
      <c r="M58" s="138" t="s">
        <v>13</v>
      </c>
    </row>
    <row r="59" spans="1:13" x14ac:dyDescent="0.35">
      <c r="A59" s="131">
        <v>55</v>
      </c>
      <c r="B59" s="132">
        <v>46067</v>
      </c>
      <c r="C59" s="132">
        <v>46068</v>
      </c>
      <c r="D59" s="133">
        <v>0.83333333333333337</v>
      </c>
      <c r="E59" s="133">
        <v>0.33333333333333331</v>
      </c>
      <c r="F59" s="134">
        <v>322000</v>
      </c>
      <c r="G59" s="134">
        <f t="shared" si="1"/>
        <v>322000</v>
      </c>
      <c r="H59" s="135" t="s">
        <v>12</v>
      </c>
      <c r="I59" s="136">
        <v>987263648788</v>
      </c>
      <c r="J59" s="136">
        <v>926051411949119</v>
      </c>
      <c r="K59" s="138" t="s">
        <v>149</v>
      </c>
      <c r="L59" s="136" t="s">
        <v>27</v>
      </c>
      <c r="M59" s="138" t="s">
        <v>22</v>
      </c>
    </row>
    <row r="60" spans="1:13" x14ac:dyDescent="0.35">
      <c r="A60" s="131">
        <v>56</v>
      </c>
      <c r="B60" s="132">
        <v>46067</v>
      </c>
      <c r="C60" s="132">
        <v>46068</v>
      </c>
      <c r="D60" s="133">
        <v>0.83333333333333337</v>
      </c>
      <c r="E60" s="133">
        <v>0.33333333333333331</v>
      </c>
      <c r="F60" s="134">
        <v>737000</v>
      </c>
      <c r="G60" s="134">
        <f t="shared" si="1"/>
        <v>737000</v>
      </c>
      <c r="H60" s="135" t="s">
        <v>12</v>
      </c>
      <c r="I60" s="136">
        <v>987263648788</v>
      </c>
      <c r="J60" s="136">
        <v>926051411949119</v>
      </c>
      <c r="K60" s="138" t="s">
        <v>20</v>
      </c>
      <c r="L60" s="136" t="s">
        <v>27</v>
      </c>
      <c r="M60" s="138" t="s">
        <v>13</v>
      </c>
    </row>
    <row r="61" spans="1:13" x14ac:dyDescent="0.35">
      <c r="A61" s="131">
        <v>57</v>
      </c>
      <c r="B61" s="132">
        <v>46068</v>
      </c>
      <c r="C61" s="132">
        <v>46068</v>
      </c>
      <c r="D61" s="133">
        <v>0.33333333333333331</v>
      </c>
      <c r="E61" s="133">
        <v>0.83333333333333337</v>
      </c>
      <c r="F61" s="134">
        <v>419000</v>
      </c>
      <c r="G61" s="134">
        <f t="shared" si="1"/>
        <v>419000</v>
      </c>
      <c r="H61" s="135" t="s">
        <v>12</v>
      </c>
      <c r="I61" s="136">
        <v>987263648795</v>
      </c>
      <c r="J61" s="136">
        <v>926051411939245</v>
      </c>
      <c r="K61" s="138" t="s">
        <v>25</v>
      </c>
      <c r="L61" s="136" t="s">
        <v>27</v>
      </c>
      <c r="M61" s="138" t="s">
        <v>22</v>
      </c>
    </row>
    <row r="62" spans="1:13" x14ac:dyDescent="0.35">
      <c r="A62" s="131">
        <v>58</v>
      </c>
      <c r="B62" s="132">
        <v>46068</v>
      </c>
      <c r="C62" s="132">
        <v>46068</v>
      </c>
      <c r="D62" s="133">
        <v>0.33333333333333331</v>
      </c>
      <c r="E62" s="133">
        <v>0.83333333333333337</v>
      </c>
      <c r="F62" s="134">
        <v>1770000</v>
      </c>
      <c r="G62" s="134">
        <f t="shared" si="1"/>
        <v>1770000</v>
      </c>
      <c r="H62" s="135" t="s">
        <v>12</v>
      </c>
      <c r="I62" s="136">
        <v>987263648795</v>
      </c>
      <c r="J62" s="136">
        <v>926051411939245</v>
      </c>
      <c r="K62" s="138" t="s">
        <v>24</v>
      </c>
      <c r="L62" s="136" t="s">
        <v>27</v>
      </c>
      <c r="M62" s="138" t="s">
        <v>13</v>
      </c>
    </row>
    <row r="63" spans="1:13" x14ac:dyDescent="0.35">
      <c r="A63" s="131">
        <v>59</v>
      </c>
      <c r="B63" s="132">
        <v>46068</v>
      </c>
      <c r="C63" s="132">
        <v>46069</v>
      </c>
      <c r="D63" s="133">
        <v>0.83333333333333337</v>
      </c>
      <c r="E63" s="133">
        <v>0.33333333333333331</v>
      </c>
      <c r="F63" s="134">
        <v>404000</v>
      </c>
      <c r="G63" s="134">
        <f t="shared" si="1"/>
        <v>404000</v>
      </c>
      <c r="H63" s="135" t="s">
        <v>12</v>
      </c>
      <c r="I63" s="136">
        <v>987263648795</v>
      </c>
      <c r="J63" s="136">
        <v>926051411939245</v>
      </c>
      <c r="K63" s="138" t="s">
        <v>149</v>
      </c>
      <c r="L63" s="136" t="s">
        <v>27</v>
      </c>
      <c r="M63" s="138" t="s">
        <v>22</v>
      </c>
    </row>
    <row r="64" spans="1:13" x14ac:dyDescent="0.35">
      <c r="A64" s="131">
        <v>50</v>
      </c>
      <c r="B64" s="132">
        <v>46068</v>
      </c>
      <c r="C64" s="132">
        <v>46068</v>
      </c>
      <c r="D64" s="133">
        <v>0.83333333333333337</v>
      </c>
      <c r="E64" s="133">
        <v>0.33333333333333331</v>
      </c>
      <c r="F64" s="134">
        <v>786000</v>
      </c>
      <c r="G64" s="134">
        <f t="shared" si="1"/>
        <v>786000</v>
      </c>
      <c r="H64" s="135" t="s">
        <v>12</v>
      </c>
      <c r="I64" s="136">
        <v>987263648795</v>
      </c>
      <c r="J64" s="136">
        <v>926051411939245</v>
      </c>
      <c r="K64" s="138" t="s">
        <v>20</v>
      </c>
      <c r="L64" s="136" t="s">
        <v>27</v>
      </c>
      <c r="M64" s="138" t="s">
        <v>13</v>
      </c>
    </row>
    <row r="65" spans="1:13" x14ac:dyDescent="0.35">
      <c r="A65" s="131">
        <v>61</v>
      </c>
      <c r="B65" s="132">
        <v>46069</v>
      </c>
      <c r="C65" s="132">
        <v>46069</v>
      </c>
      <c r="D65" s="133">
        <v>0.33333333333333331</v>
      </c>
      <c r="E65" s="133">
        <v>0.83333333333333337</v>
      </c>
      <c r="F65" s="134">
        <v>466000</v>
      </c>
      <c r="G65" s="134">
        <f t="shared" si="1"/>
        <v>466000</v>
      </c>
      <c r="H65" s="135" t="s">
        <v>12</v>
      </c>
      <c r="I65" s="136">
        <v>987263648803</v>
      </c>
      <c r="J65" s="136" t="s">
        <v>45</v>
      </c>
      <c r="K65" s="138" t="s">
        <v>25</v>
      </c>
      <c r="L65" s="136" t="s">
        <v>45</v>
      </c>
      <c r="M65" s="138" t="s">
        <v>22</v>
      </c>
    </row>
    <row r="66" spans="1:13" x14ac:dyDescent="0.35">
      <c r="A66" s="131">
        <v>62</v>
      </c>
      <c r="B66" s="132">
        <v>46069</v>
      </c>
      <c r="C66" s="132">
        <v>46069</v>
      </c>
      <c r="D66" s="133">
        <v>0.33333333333333331</v>
      </c>
      <c r="E66" s="133">
        <v>0.83333333333333337</v>
      </c>
      <c r="F66" s="134">
        <v>1239000</v>
      </c>
      <c r="G66" s="134">
        <f t="shared" si="1"/>
        <v>1239000</v>
      </c>
      <c r="H66" s="135" t="s">
        <v>12</v>
      </c>
      <c r="I66" s="136">
        <v>987263648803</v>
      </c>
      <c r="J66" s="136" t="s">
        <v>45</v>
      </c>
      <c r="K66" s="138" t="s">
        <v>24</v>
      </c>
      <c r="L66" s="136" t="s">
        <v>45</v>
      </c>
      <c r="M66" s="138" t="s">
        <v>13</v>
      </c>
    </row>
    <row r="67" spans="1:13" x14ac:dyDescent="0.35">
      <c r="A67" s="131">
        <v>63</v>
      </c>
      <c r="B67" s="132">
        <v>46069</v>
      </c>
      <c r="C67" s="132">
        <v>46070</v>
      </c>
      <c r="D67" s="133">
        <v>0.83333333333333337</v>
      </c>
      <c r="E67" s="133">
        <v>0.33333333333333331</v>
      </c>
      <c r="F67" s="134">
        <v>168000</v>
      </c>
      <c r="G67" s="134">
        <f t="shared" si="1"/>
        <v>168000</v>
      </c>
      <c r="H67" s="135" t="s">
        <v>12</v>
      </c>
      <c r="I67" s="136">
        <v>987263648803</v>
      </c>
      <c r="J67" s="136" t="s">
        <v>45</v>
      </c>
      <c r="K67" s="138" t="s">
        <v>16</v>
      </c>
      <c r="L67" s="136" t="s">
        <v>45</v>
      </c>
      <c r="M67" s="138" t="s">
        <v>22</v>
      </c>
    </row>
    <row r="68" spans="1:13" x14ac:dyDescent="0.35">
      <c r="A68" s="131">
        <v>64</v>
      </c>
      <c r="B68" s="132">
        <v>46069</v>
      </c>
      <c r="C68" s="132">
        <v>46070</v>
      </c>
      <c r="D68" s="133">
        <v>0.83333333333333337</v>
      </c>
      <c r="E68" s="133">
        <v>0.33333333333333331</v>
      </c>
      <c r="F68" s="134">
        <v>504000</v>
      </c>
      <c r="G68" s="134">
        <f t="shared" si="1"/>
        <v>504000</v>
      </c>
      <c r="H68" s="135" t="s">
        <v>12</v>
      </c>
      <c r="I68" s="136">
        <v>987263648803</v>
      </c>
      <c r="J68" s="136" t="s">
        <v>45</v>
      </c>
      <c r="K68" s="138" t="s">
        <v>15</v>
      </c>
      <c r="L68" s="136" t="s">
        <v>45</v>
      </c>
      <c r="M68" s="138" t="s">
        <v>13</v>
      </c>
    </row>
    <row r="69" spans="1:13" x14ac:dyDescent="0.35">
      <c r="A69" s="131">
        <v>65</v>
      </c>
      <c r="B69" s="132">
        <v>46070</v>
      </c>
      <c r="C69" s="132">
        <v>46070</v>
      </c>
      <c r="D69" s="133">
        <v>0.33333333333333331</v>
      </c>
      <c r="E69" s="133">
        <v>0.83333333333333337</v>
      </c>
      <c r="F69" s="134">
        <v>356000</v>
      </c>
      <c r="G69" s="134">
        <f t="shared" si="1"/>
        <v>356000</v>
      </c>
      <c r="H69" s="135" t="s">
        <v>12</v>
      </c>
      <c r="I69" s="136">
        <v>987263657158</v>
      </c>
      <c r="J69" s="136">
        <v>926052412267509</v>
      </c>
      <c r="K69" s="138" t="s">
        <v>25</v>
      </c>
      <c r="L69" s="136" t="s">
        <v>27</v>
      </c>
      <c r="M69" s="138" t="s">
        <v>22</v>
      </c>
    </row>
    <row r="70" spans="1:13" x14ac:dyDescent="0.35">
      <c r="A70" s="131">
        <v>66</v>
      </c>
      <c r="B70" s="132">
        <v>46070</v>
      </c>
      <c r="C70" s="132">
        <v>46070</v>
      </c>
      <c r="D70" s="133">
        <v>0.33333333333333331</v>
      </c>
      <c r="E70" s="133">
        <v>0.83333333333333337</v>
      </c>
      <c r="F70" s="134">
        <v>1082000</v>
      </c>
      <c r="G70" s="134">
        <f t="shared" si="1"/>
        <v>1082000</v>
      </c>
      <c r="H70" s="135" t="s">
        <v>12</v>
      </c>
      <c r="I70" s="136">
        <v>987263657158</v>
      </c>
      <c r="J70" s="136">
        <v>926052412267509</v>
      </c>
      <c r="K70" s="138" t="s">
        <v>24</v>
      </c>
      <c r="L70" s="136" t="s">
        <v>27</v>
      </c>
      <c r="M70" s="138" t="s">
        <v>13</v>
      </c>
    </row>
    <row r="71" spans="1:13" x14ac:dyDescent="0.35">
      <c r="A71" s="131">
        <v>67</v>
      </c>
      <c r="B71" s="132">
        <v>46070</v>
      </c>
      <c r="C71" s="132">
        <v>46071</v>
      </c>
      <c r="D71" s="133">
        <v>0.83333333333333337</v>
      </c>
      <c r="E71" s="133">
        <v>0.33333333333333331</v>
      </c>
      <c r="F71" s="134">
        <v>207000</v>
      </c>
      <c r="G71" s="134">
        <f t="shared" si="1"/>
        <v>207000</v>
      </c>
      <c r="H71" s="135" t="s">
        <v>12</v>
      </c>
      <c r="I71" s="136">
        <v>987263657158</v>
      </c>
      <c r="J71" s="136">
        <v>926052412267509</v>
      </c>
      <c r="K71" s="138" t="s">
        <v>16</v>
      </c>
      <c r="L71" s="136" t="s">
        <v>27</v>
      </c>
      <c r="M71" s="138" t="s">
        <v>22</v>
      </c>
    </row>
    <row r="72" spans="1:13" x14ac:dyDescent="0.35">
      <c r="A72" s="131">
        <v>68</v>
      </c>
      <c r="B72" s="132">
        <v>46070</v>
      </c>
      <c r="C72" s="132">
        <v>46071</v>
      </c>
      <c r="D72" s="133">
        <v>0.83333333333333337</v>
      </c>
      <c r="E72" s="133">
        <v>0.33333333333333331</v>
      </c>
      <c r="F72" s="134">
        <v>488000</v>
      </c>
      <c r="G72" s="134">
        <f t="shared" si="1"/>
        <v>488000</v>
      </c>
      <c r="H72" s="135" t="s">
        <v>12</v>
      </c>
      <c r="I72" s="136">
        <v>987263657158</v>
      </c>
      <c r="J72" s="136">
        <v>926052412267509</v>
      </c>
      <c r="K72" s="138" t="s">
        <v>15</v>
      </c>
      <c r="L72" s="136" t="s">
        <v>27</v>
      </c>
      <c r="M72" s="138" t="s">
        <v>13</v>
      </c>
    </row>
    <row r="73" spans="1:13" x14ac:dyDescent="0.35">
      <c r="A73" s="131">
        <v>69</v>
      </c>
      <c r="B73" s="132">
        <v>46071</v>
      </c>
      <c r="C73" s="132">
        <v>46071</v>
      </c>
      <c r="D73" s="133">
        <v>0.33333333333333331</v>
      </c>
      <c r="E73" s="133">
        <v>0.83333333333333337</v>
      </c>
      <c r="F73" s="134">
        <v>237000</v>
      </c>
      <c r="G73" s="134">
        <f t="shared" si="1"/>
        <v>237000</v>
      </c>
      <c r="H73" s="135" t="s">
        <v>12</v>
      </c>
      <c r="I73" s="136">
        <v>987263657166</v>
      </c>
      <c r="J73" s="136">
        <v>926052412265135</v>
      </c>
      <c r="K73" s="138" t="s">
        <v>25</v>
      </c>
      <c r="L73" s="136" t="s">
        <v>27</v>
      </c>
      <c r="M73" s="138" t="s">
        <v>22</v>
      </c>
    </row>
    <row r="74" spans="1:13" x14ac:dyDescent="0.35">
      <c r="A74" s="131">
        <v>70</v>
      </c>
      <c r="B74" s="132">
        <v>46071</v>
      </c>
      <c r="C74" s="132">
        <v>46071</v>
      </c>
      <c r="D74" s="133">
        <v>0.33333333333333331</v>
      </c>
      <c r="E74" s="133">
        <v>0.83333333333333337</v>
      </c>
      <c r="F74" s="134">
        <v>928000</v>
      </c>
      <c r="G74" s="134">
        <f t="shared" si="1"/>
        <v>928000</v>
      </c>
      <c r="H74" s="135" t="s">
        <v>12</v>
      </c>
      <c r="I74" s="136">
        <v>987263657166</v>
      </c>
      <c r="J74" s="136">
        <v>926052412265135</v>
      </c>
      <c r="K74" s="138" t="s">
        <v>20</v>
      </c>
      <c r="L74" s="136" t="s">
        <v>27</v>
      </c>
      <c r="M74" s="138" t="s">
        <v>13</v>
      </c>
    </row>
    <row r="75" spans="1:13" x14ac:dyDescent="0.35">
      <c r="A75" s="131">
        <v>71</v>
      </c>
      <c r="B75" s="132">
        <v>46071</v>
      </c>
      <c r="C75" s="132">
        <v>46071</v>
      </c>
      <c r="D75" s="139" t="s">
        <v>152</v>
      </c>
      <c r="E75" s="139"/>
      <c r="F75" s="134">
        <v>2681000</v>
      </c>
      <c r="G75" s="134">
        <f t="shared" si="1"/>
        <v>2681000</v>
      </c>
      <c r="H75" s="135" t="s">
        <v>12</v>
      </c>
      <c r="I75" s="136">
        <v>987263644727</v>
      </c>
      <c r="J75" s="136">
        <v>926049411253570</v>
      </c>
      <c r="K75" s="138" t="s">
        <v>24</v>
      </c>
      <c r="L75" s="136" t="s">
        <v>27</v>
      </c>
      <c r="M75" s="138" t="s">
        <v>151</v>
      </c>
    </row>
    <row r="76" spans="1:13" x14ac:dyDescent="0.35">
      <c r="A76" s="131">
        <v>72</v>
      </c>
      <c r="B76" s="132">
        <v>46071</v>
      </c>
      <c r="C76" s="132">
        <v>46072</v>
      </c>
      <c r="D76" s="133">
        <v>0.83333333333333337</v>
      </c>
      <c r="E76" s="133">
        <v>0.33333333333333331</v>
      </c>
      <c r="F76" s="134">
        <v>326000</v>
      </c>
      <c r="G76" s="134">
        <f t="shared" si="1"/>
        <v>326000</v>
      </c>
      <c r="H76" s="135" t="s">
        <v>12</v>
      </c>
      <c r="I76" s="136">
        <v>987263657166</v>
      </c>
      <c r="J76" s="136">
        <v>926052412265135</v>
      </c>
      <c r="K76" s="138" t="s">
        <v>25</v>
      </c>
      <c r="L76" s="136" t="s">
        <v>27</v>
      </c>
      <c r="M76" s="138" t="s">
        <v>22</v>
      </c>
    </row>
    <row r="77" spans="1:13" x14ac:dyDescent="0.35">
      <c r="A77" s="131">
        <v>73</v>
      </c>
      <c r="B77" s="132">
        <v>46071</v>
      </c>
      <c r="C77" s="132">
        <v>46072</v>
      </c>
      <c r="D77" s="133">
        <v>0.83333333333333337</v>
      </c>
      <c r="E77" s="133">
        <v>0.33333333333333331</v>
      </c>
      <c r="F77" s="134">
        <v>380000</v>
      </c>
      <c r="G77" s="134">
        <f t="shared" si="1"/>
        <v>380000</v>
      </c>
      <c r="H77" s="135" t="s">
        <v>12</v>
      </c>
      <c r="I77" s="136">
        <v>987263657166</v>
      </c>
      <c r="J77" s="136">
        <v>926052412265135</v>
      </c>
      <c r="K77" s="138" t="s">
        <v>24</v>
      </c>
      <c r="L77" s="136" t="s">
        <v>27</v>
      </c>
      <c r="M77" s="138" t="s">
        <v>13</v>
      </c>
    </row>
    <row r="78" spans="1:13" x14ac:dyDescent="0.35">
      <c r="A78" s="131">
        <v>74</v>
      </c>
      <c r="B78" s="132">
        <v>46072</v>
      </c>
      <c r="C78" s="132">
        <v>46072</v>
      </c>
      <c r="D78" s="133">
        <v>0.33333333333333331</v>
      </c>
      <c r="E78" s="133">
        <v>0.83333333333333337</v>
      </c>
      <c r="F78" s="134">
        <v>518000</v>
      </c>
      <c r="G78" s="134">
        <f t="shared" si="1"/>
        <v>518000</v>
      </c>
      <c r="H78" s="135" t="s">
        <v>12</v>
      </c>
      <c r="I78" s="136">
        <v>987263668188</v>
      </c>
      <c r="J78" s="136">
        <v>926053412511761</v>
      </c>
      <c r="K78" s="138" t="s">
        <v>25</v>
      </c>
      <c r="L78" s="136" t="s">
        <v>27</v>
      </c>
      <c r="M78" s="138" t="s">
        <v>22</v>
      </c>
    </row>
    <row r="79" spans="1:13" x14ac:dyDescent="0.35">
      <c r="A79" s="131">
        <v>75</v>
      </c>
      <c r="B79" s="132">
        <v>46072</v>
      </c>
      <c r="C79" s="132">
        <v>46072</v>
      </c>
      <c r="D79" s="133">
        <v>0.33333333333333331</v>
      </c>
      <c r="E79" s="133">
        <v>0.83333333333333337</v>
      </c>
      <c r="F79" s="134">
        <v>1012000</v>
      </c>
      <c r="G79" s="134">
        <f t="shared" si="1"/>
        <v>1012000</v>
      </c>
      <c r="H79" s="135" t="s">
        <v>12</v>
      </c>
      <c r="I79" s="136">
        <v>987263668188</v>
      </c>
      <c r="J79" s="136">
        <v>926053412511761</v>
      </c>
      <c r="K79" s="138" t="s">
        <v>20</v>
      </c>
      <c r="L79" s="136" t="s">
        <v>27</v>
      </c>
      <c r="M79" s="138" t="s">
        <v>13</v>
      </c>
    </row>
    <row r="80" spans="1:13" x14ac:dyDescent="0.35">
      <c r="A80" s="131">
        <v>76</v>
      </c>
      <c r="B80" s="132">
        <v>46072</v>
      </c>
      <c r="C80" s="132">
        <v>46073</v>
      </c>
      <c r="D80" s="133">
        <v>0.83333333333333337</v>
      </c>
      <c r="E80" s="133">
        <v>0.33333333333333331</v>
      </c>
      <c r="F80" s="134">
        <v>341000</v>
      </c>
      <c r="G80" s="134">
        <f t="shared" si="1"/>
        <v>341000</v>
      </c>
      <c r="H80" s="135" t="s">
        <v>12</v>
      </c>
      <c r="I80" s="136">
        <v>987263668188</v>
      </c>
      <c r="J80" s="136">
        <v>926053412511761</v>
      </c>
      <c r="K80" s="138" t="s">
        <v>25</v>
      </c>
      <c r="L80" s="136" t="s">
        <v>27</v>
      </c>
      <c r="M80" s="138" t="s">
        <v>22</v>
      </c>
    </row>
    <row r="81" spans="1:13" x14ac:dyDescent="0.35">
      <c r="A81" s="131">
        <v>77</v>
      </c>
      <c r="B81" s="132">
        <v>46072</v>
      </c>
      <c r="C81" s="132">
        <v>46073</v>
      </c>
      <c r="D81" s="133">
        <v>0.83333333333333337</v>
      </c>
      <c r="E81" s="133">
        <v>0.33333333333333331</v>
      </c>
      <c r="F81" s="134">
        <v>388000</v>
      </c>
      <c r="G81" s="134">
        <f t="shared" si="1"/>
        <v>388000</v>
      </c>
      <c r="H81" s="135" t="s">
        <v>12</v>
      </c>
      <c r="I81" s="136">
        <v>987263668188</v>
      </c>
      <c r="J81" s="136">
        <v>926053412511761</v>
      </c>
      <c r="K81" s="138" t="s">
        <v>24</v>
      </c>
      <c r="L81" s="136" t="s">
        <v>27</v>
      </c>
      <c r="M81" s="138" t="s">
        <v>13</v>
      </c>
    </row>
    <row r="82" spans="1:13" x14ac:dyDescent="0.35">
      <c r="A82" s="131">
        <v>78</v>
      </c>
      <c r="B82" s="132">
        <v>46073</v>
      </c>
      <c r="C82" s="132">
        <v>46073</v>
      </c>
      <c r="D82" s="133">
        <v>0.33333333333333331</v>
      </c>
      <c r="E82" s="133">
        <v>0.83333333333333337</v>
      </c>
      <c r="F82" s="134">
        <v>203000</v>
      </c>
      <c r="G82" s="134">
        <f t="shared" si="1"/>
        <v>203000</v>
      </c>
      <c r="H82" s="135" t="s">
        <v>12</v>
      </c>
      <c r="I82" s="136">
        <v>987263700751</v>
      </c>
      <c r="J82" s="136">
        <v>926056413518359</v>
      </c>
      <c r="K82" s="138" t="s">
        <v>16</v>
      </c>
      <c r="L82" s="136" t="s">
        <v>27</v>
      </c>
      <c r="M82" s="138" t="s">
        <v>22</v>
      </c>
    </row>
    <row r="83" spans="1:13" x14ac:dyDescent="0.35">
      <c r="A83" s="131">
        <v>79</v>
      </c>
      <c r="B83" s="132">
        <v>46073</v>
      </c>
      <c r="C83" s="132">
        <v>46073</v>
      </c>
      <c r="D83" s="133">
        <v>0.33333333333333331</v>
      </c>
      <c r="E83" s="133">
        <v>0.83333333333333337</v>
      </c>
      <c r="F83" s="134">
        <v>1103000</v>
      </c>
      <c r="G83" s="134">
        <f t="shared" si="1"/>
        <v>1103000</v>
      </c>
      <c r="H83" s="135" t="s">
        <v>12</v>
      </c>
      <c r="I83" s="136">
        <v>987263700751</v>
      </c>
      <c r="J83" s="136">
        <v>926056413518359</v>
      </c>
      <c r="K83" s="138" t="s">
        <v>15</v>
      </c>
      <c r="L83" s="136" t="s">
        <v>27</v>
      </c>
      <c r="M83" s="138" t="s">
        <v>13</v>
      </c>
    </row>
    <row r="84" spans="1:13" x14ac:dyDescent="0.35">
      <c r="A84" s="131">
        <v>80</v>
      </c>
      <c r="B84" s="132">
        <v>46073</v>
      </c>
      <c r="C84" s="132">
        <v>46074</v>
      </c>
      <c r="D84" s="133">
        <v>0.83333333333333337</v>
      </c>
      <c r="E84" s="133">
        <v>0.33333333333333331</v>
      </c>
      <c r="F84" s="134">
        <v>550000</v>
      </c>
      <c r="G84" s="134">
        <f t="shared" si="1"/>
        <v>550000</v>
      </c>
      <c r="H84" s="135" t="s">
        <v>12</v>
      </c>
      <c r="I84" s="136">
        <v>987263700751</v>
      </c>
      <c r="J84" s="136">
        <v>926056413518359</v>
      </c>
      <c r="K84" s="138" t="s">
        <v>25</v>
      </c>
      <c r="L84" s="136" t="s">
        <v>27</v>
      </c>
      <c r="M84" s="138" t="s">
        <v>22</v>
      </c>
    </row>
    <row r="85" spans="1:13" x14ac:dyDescent="0.35">
      <c r="A85" s="131">
        <v>81</v>
      </c>
      <c r="B85" s="132">
        <v>46073</v>
      </c>
      <c r="C85" s="132">
        <v>46074</v>
      </c>
      <c r="D85" s="133">
        <v>0.83333333333333337</v>
      </c>
      <c r="E85" s="133">
        <v>0.33333333333333331</v>
      </c>
      <c r="F85" s="134">
        <v>507000</v>
      </c>
      <c r="G85" s="134">
        <f t="shared" si="1"/>
        <v>507000</v>
      </c>
      <c r="H85" s="135" t="s">
        <v>12</v>
      </c>
      <c r="I85" s="136">
        <v>987263700751</v>
      </c>
      <c r="J85" s="136">
        <v>926056413518359</v>
      </c>
      <c r="K85" s="138" t="s">
        <v>20</v>
      </c>
      <c r="L85" s="136" t="s">
        <v>27</v>
      </c>
      <c r="M85" s="138" t="s">
        <v>13</v>
      </c>
    </row>
    <row r="86" spans="1:13" x14ac:dyDescent="0.35">
      <c r="A86" s="131">
        <v>82</v>
      </c>
      <c r="B86" s="132">
        <v>46074</v>
      </c>
      <c r="C86" s="132">
        <v>46074</v>
      </c>
      <c r="D86" s="133">
        <v>0.33333333333333331</v>
      </c>
      <c r="E86" s="133">
        <v>0.83333333333333337</v>
      </c>
      <c r="F86" s="134">
        <v>364000</v>
      </c>
      <c r="G86" s="134">
        <f t="shared" si="1"/>
        <v>364000</v>
      </c>
      <c r="H86" s="135" t="s">
        <v>12</v>
      </c>
      <c r="I86" s="136">
        <v>987263700761</v>
      </c>
      <c r="J86" s="136">
        <v>926056413519154</v>
      </c>
      <c r="K86" s="138" t="s">
        <v>16</v>
      </c>
      <c r="L86" s="136" t="s">
        <v>27</v>
      </c>
      <c r="M86" s="138" t="s">
        <v>22</v>
      </c>
    </row>
    <row r="87" spans="1:13" x14ac:dyDescent="0.35">
      <c r="A87" s="131">
        <v>83</v>
      </c>
      <c r="B87" s="132">
        <v>46074</v>
      </c>
      <c r="C87" s="132">
        <v>46074</v>
      </c>
      <c r="D87" s="133">
        <v>0.33333333333333331</v>
      </c>
      <c r="E87" s="133">
        <v>0.83333333333333337</v>
      </c>
      <c r="F87" s="134">
        <v>1139000</v>
      </c>
      <c r="G87" s="134">
        <f t="shared" si="1"/>
        <v>1139000</v>
      </c>
      <c r="H87" s="135" t="s">
        <v>12</v>
      </c>
      <c r="I87" s="136">
        <v>987263700761</v>
      </c>
      <c r="J87" s="136">
        <v>926056413519154</v>
      </c>
      <c r="K87" s="138" t="s">
        <v>15</v>
      </c>
      <c r="L87" s="136" t="s">
        <v>27</v>
      </c>
      <c r="M87" s="138" t="s">
        <v>13</v>
      </c>
    </row>
    <row r="88" spans="1:13" x14ac:dyDescent="0.35">
      <c r="A88" s="131">
        <v>84</v>
      </c>
      <c r="B88" s="132">
        <v>46074</v>
      </c>
      <c r="C88" s="132">
        <v>46075</v>
      </c>
      <c r="D88" s="133">
        <v>0.83333333333333337</v>
      </c>
      <c r="E88" s="133">
        <v>0.33333333333333331</v>
      </c>
      <c r="F88" s="134">
        <v>292000</v>
      </c>
      <c r="G88" s="134">
        <f t="shared" si="1"/>
        <v>292000</v>
      </c>
      <c r="H88" s="135" t="s">
        <v>12</v>
      </c>
      <c r="I88" s="136">
        <v>987263700761</v>
      </c>
      <c r="J88" s="136">
        <v>926056413519154</v>
      </c>
      <c r="K88" s="138" t="s">
        <v>149</v>
      </c>
      <c r="L88" s="136" t="s">
        <v>27</v>
      </c>
      <c r="M88" s="138" t="s">
        <v>22</v>
      </c>
    </row>
    <row r="89" spans="1:13" x14ac:dyDescent="0.35">
      <c r="A89" s="131">
        <v>85</v>
      </c>
      <c r="B89" s="132">
        <v>46074</v>
      </c>
      <c r="C89" s="132">
        <v>46075</v>
      </c>
      <c r="D89" s="133">
        <v>0.83333333333333337</v>
      </c>
      <c r="E89" s="133">
        <v>0.33333333333333331</v>
      </c>
      <c r="F89" s="134">
        <v>587000</v>
      </c>
      <c r="G89" s="134">
        <f t="shared" si="1"/>
        <v>587000</v>
      </c>
      <c r="H89" s="135" t="s">
        <v>12</v>
      </c>
      <c r="I89" s="136">
        <v>987263700761</v>
      </c>
      <c r="J89" s="136">
        <v>926056413519154</v>
      </c>
      <c r="K89" s="138" t="s">
        <v>20</v>
      </c>
      <c r="L89" s="136" t="s">
        <v>27</v>
      </c>
      <c r="M89" s="138" t="s">
        <v>13</v>
      </c>
    </row>
    <row r="90" spans="1:13" x14ac:dyDescent="0.35">
      <c r="A90" s="131">
        <v>86</v>
      </c>
      <c r="B90" s="132">
        <v>46075</v>
      </c>
      <c r="C90" s="132">
        <v>46075</v>
      </c>
      <c r="D90" s="133">
        <v>0.33333333333333331</v>
      </c>
      <c r="E90" s="133">
        <v>0.83333333333333337</v>
      </c>
      <c r="F90" s="134">
        <v>329000</v>
      </c>
      <c r="G90" s="134">
        <f t="shared" si="1"/>
        <v>329000</v>
      </c>
      <c r="H90" s="135" t="s">
        <v>12</v>
      </c>
      <c r="I90" s="136">
        <v>987263700768</v>
      </c>
      <c r="J90" s="136">
        <v>926057413855533</v>
      </c>
      <c r="K90" s="138" t="s">
        <v>25</v>
      </c>
      <c r="L90" s="136" t="s">
        <v>27</v>
      </c>
      <c r="M90" s="138" t="s">
        <v>22</v>
      </c>
    </row>
    <row r="91" spans="1:13" x14ac:dyDescent="0.35">
      <c r="A91" s="131">
        <v>87</v>
      </c>
      <c r="B91" s="132">
        <v>46075</v>
      </c>
      <c r="C91" s="132">
        <v>46075</v>
      </c>
      <c r="D91" s="133">
        <v>0.33333333333333331</v>
      </c>
      <c r="E91" s="133">
        <v>0.83333333333333337</v>
      </c>
      <c r="F91" s="134">
        <v>1500000</v>
      </c>
      <c r="G91" s="134">
        <f t="shared" si="1"/>
        <v>1500000</v>
      </c>
      <c r="H91" s="135" t="s">
        <v>12</v>
      </c>
      <c r="I91" s="136">
        <v>987263700768</v>
      </c>
      <c r="J91" s="136">
        <v>926057413855533</v>
      </c>
      <c r="K91" s="138" t="s">
        <v>24</v>
      </c>
      <c r="L91" s="136" t="s">
        <v>27</v>
      </c>
      <c r="M91" s="138" t="s">
        <v>13</v>
      </c>
    </row>
    <row r="92" spans="1:13" x14ac:dyDescent="0.35">
      <c r="A92" s="131">
        <v>88</v>
      </c>
      <c r="B92" s="132">
        <v>46075</v>
      </c>
      <c r="C92" s="132">
        <v>46076</v>
      </c>
      <c r="D92" s="133">
        <v>0.83333333333333337</v>
      </c>
      <c r="E92" s="133">
        <v>0.33333333333333331</v>
      </c>
      <c r="F92" s="134">
        <v>818000</v>
      </c>
      <c r="G92" s="134">
        <f t="shared" si="1"/>
        <v>818000</v>
      </c>
      <c r="H92" s="135" t="s">
        <v>12</v>
      </c>
      <c r="I92" s="136">
        <v>987263700768</v>
      </c>
      <c r="J92" s="136">
        <v>926057413855533</v>
      </c>
      <c r="K92" s="138" t="s">
        <v>16</v>
      </c>
      <c r="L92" s="136" t="s">
        <v>27</v>
      </c>
      <c r="M92" s="138" t="s">
        <v>22</v>
      </c>
    </row>
    <row r="93" spans="1:13" x14ac:dyDescent="0.35">
      <c r="A93" s="131">
        <v>89</v>
      </c>
      <c r="B93" s="132">
        <v>46075</v>
      </c>
      <c r="C93" s="132">
        <v>46076</v>
      </c>
      <c r="D93" s="133">
        <v>0.83333333333333337</v>
      </c>
      <c r="E93" s="133">
        <v>0.33333333333333331</v>
      </c>
      <c r="F93" s="134">
        <v>700000</v>
      </c>
      <c r="G93" s="134">
        <f t="shared" si="1"/>
        <v>700000</v>
      </c>
      <c r="H93" s="135" t="s">
        <v>12</v>
      </c>
      <c r="I93" s="136">
        <v>987263700768</v>
      </c>
      <c r="J93" s="136">
        <v>926057413855533</v>
      </c>
      <c r="K93" s="138" t="s">
        <v>15</v>
      </c>
      <c r="L93" s="136" t="s">
        <v>27</v>
      </c>
      <c r="M93" s="138" t="s">
        <v>13</v>
      </c>
    </row>
    <row r="94" spans="1:13" x14ac:dyDescent="0.35">
      <c r="A94" s="131">
        <v>90</v>
      </c>
      <c r="B94" s="132">
        <v>46076</v>
      </c>
      <c r="C94" s="132">
        <v>46076</v>
      </c>
      <c r="D94" s="133">
        <v>0.33333333333333331</v>
      </c>
      <c r="E94" s="133">
        <v>0.83333333333333337</v>
      </c>
      <c r="F94" s="134">
        <v>235000</v>
      </c>
      <c r="G94" s="134">
        <f t="shared" si="1"/>
        <v>235000</v>
      </c>
      <c r="H94" s="135" t="s">
        <v>12</v>
      </c>
      <c r="I94" s="136">
        <v>987263700778</v>
      </c>
      <c r="J94" s="136">
        <v>926056413516260</v>
      </c>
      <c r="K94" s="138" t="s">
        <v>25</v>
      </c>
      <c r="L94" s="136" t="s">
        <v>27</v>
      </c>
      <c r="M94" s="138" t="s">
        <v>22</v>
      </c>
    </row>
    <row r="95" spans="1:13" x14ac:dyDescent="0.35">
      <c r="A95" s="131">
        <v>91</v>
      </c>
      <c r="B95" s="132">
        <v>46076</v>
      </c>
      <c r="C95" s="132">
        <v>46076</v>
      </c>
      <c r="D95" s="133">
        <v>0.33333333333333331</v>
      </c>
      <c r="E95" s="133">
        <v>0.83333333333333337</v>
      </c>
      <c r="F95" s="134">
        <v>1160000</v>
      </c>
      <c r="G95" s="134">
        <f t="shared" si="1"/>
        <v>1160000</v>
      </c>
      <c r="H95" s="135" t="s">
        <v>12</v>
      </c>
      <c r="I95" s="136">
        <v>987263700778</v>
      </c>
      <c r="J95" s="136">
        <v>926056413516260</v>
      </c>
      <c r="K95" s="138" t="s">
        <v>24</v>
      </c>
      <c r="L95" s="136" t="s">
        <v>27</v>
      </c>
      <c r="M95" s="138" t="s">
        <v>13</v>
      </c>
    </row>
    <row r="96" spans="1:13" x14ac:dyDescent="0.35">
      <c r="A96" s="131">
        <v>92</v>
      </c>
      <c r="B96" s="132">
        <v>46076</v>
      </c>
      <c r="C96" s="132">
        <v>46077</v>
      </c>
      <c r="D96" s="133">
        <v>0.83333333333333337</v>
      </c>
      <c r="E96" s="133">
        <v>0.33333333333333331</v>
      </c>
      <c r="F96" s="134">
        <v>220000</v>
      </c>
      <c r="G96" s="134">
        <f t="shared" si="1"/>
        <v>220000</v>
      </c>
      <c r="H96" s="135" t="s">
        <v>12</v>
      </c>
      <c r="I96" s="136">
        <v>987263700778</v>
      </c>
      <c r="J96" s="136">
        <v>926056413516260</v>
      </c>
      <c r="K96" s="138" t="s">
        <v>16</v>
      </c>
      <c r="L96" s="136" t="s">
        <v>27</v>
      </c>
      <c r="M96" s="138" t="s">
        <v>22</v>
      </c>
    </row>
    <row r="97" spans="1:13" x14ac:dyDescent="0.35">
      <c r="A97" s="131">
        <v>93</v>
      </c>
      <c r="B97" s="132">
        <v>46076</v>
      </c>
      <c r="C97" s="132">
        <v>46077</v>
      </c>
      <c r="D97" s="133">
        <v>0.83333333333333337</v>
      </c>
      <c r="E97" s="133">
        <v>0.33333333333333331</v>
      </c>
      <c r="F97" s="134">
        <v>556000</v>
      </c>
      <c r="G97" s="134">
        <f t="shared" si="1"/>
        <v>556000</v>
      </c>
      <c r="H97" s="135" t="s">
        <v>12</v>
      </c>
      <c r="I97" s="136">
        <v>987263700778</v>
      </c>
      <c r="J97" s="136">
        <v>926056413516260</v>
      </c>
      <c r="K97" s="138" t="s">
        <v>15</v>
      </c>
      <c r="L97" s="136" t="s">
        <v>27</v>
      </c>
      <c r="M97" s="138" t="s">
        <v>46</v>
      </c>
    </row>
    <row r="98" spans="1:13" x14ac:dyDescent="0.35">
      <c r="A98" s="131">
        <v>94</v>
      </c>
      <c r="B98" s="132">
        <v>46077</v>
      </c>
      <c r="C98" s="132">
        <v>46077</v>
      </c>
      <c r="D98" s="133">
        <v>0.33333333333333331</v>
      </c>
      <c r="E98" s="133">
        <v>0.83333333333333337</v>
      </c>
      <c r="F98" s="134">
        <v>437000</v>
      </c>
      <c r="G98" s="134">
        <f t="shared" si="1"/>
        <v>437000</v>
      </c>
      <c r="H98" s="135" t="s">
        <v>12</v>
      </c>
      <c r="I98" s="136">
        <v>987263710718</v>
      </c>
      <c r="J98" s="136">
        <v>926058414261381</v>
      </c>
      <c r="K98" s="138" t="s">
        <v>25</v>
      </c>
      <c r="L98" s="136" t="s">
        <v>27</v>
      </c>
      <c r="M98" s="138" t="s">
        <v>22</v>
      </c>
    </row>
    <row r="99" spans="1:13" x14ac:dyDescent="0.35">
      <c r="A99" s="131">
        <v>95</v>
      </c>
      <c r="B99" s="132">
        <v>46077</v>
      </c>
      <c r="C99" s="132">
        <v>46077</v>
      </c>
      <c r="D99" s="133">
        <v>0.33333333333333331</v>
      </c>
      <c r="E99" s="133">
        <v>0.83333333333333337</v>
      </c>
      <c r="F99" s="134">
        <v>871000</v>
      </c>
      <c r="G99" s="134">
        <f t="shared" si="1"/>
        <v>871000</v>
      </c>
      <c r="H99" s="135" t="s">
        <v>12</v>
      </c>
      <c r="I99" s="136">
        <v>987263710718</v>
      </c>
      <c r="J99" s="136">
        <v>926058414261381</v>
      </c>
      <c r="K99" s="138" t="s">
        <v>20</v>
      </c>
      <c r="L99" s="136" t="s">
        <v>27</v>
      </c>
      <c r="M99" s="138" t="s">
        <v>13</v>
      </c>
    </row>
    <row r="100" spans="1:13" x14ac:dyDescent="0.35">
      <c r="A100" s="131">
        <v>96</v>
      </c>
      <c r="B100" s="132">
        <v>46077</v>
      </c>
      <c r="C100" s="132">
        <v>46077</v>
      </c>
      <c r="D100" s="139" t="s">
        <v>152</v>
      </c>
      <c r="E100" s="139"/>
      <c r="F100" s="134">
        <v>150000</v>
      </c>
      <c r="G100" s="134">
        <f t="shared" si="1"/>
        <v>150000</v>
      </c>
      <c r="H100" s="135" t="s">
        <v>12</v>
      </c>
      <c r="I100" s="136">
        <v>987263700549</v>
      </c>
      <c r="J100" s="136">
        <v>926055413228146</v>
      </c>
      <c r="K100" s="138" t="s">
        <v>24</v>
      </c>
      <c r="L100" s="136" t="s">
        <v>27</v>
      </c>
      <c r="M100" s="138" t="s">
        <v>22</v>
      </c>
    </row>
    <row r="101" spans="1:13" x14ac:dyDescent="0.35">
      <c r="A101" s="131">
        <v>97</v>
      </c>
      <c r="B101" s="132">
        <v>46077</v>
      </c>
      <c r="C101" s="132">
        <v>46078</v>
      </c>
      <c r="D101" s="133">
        <v>0.83333333333333337</v>
      </c>
      <c r="E101" s="133">
        <v>0.33333333333333331</v>
      </c>
      <c r="F101" s="134">
        <v>171000</v>
      </c>
      <c r="G101" s="134">
        <f t="shared" si="1"/>
        <v>171000</v>
      </c>
      <c r="H101" s="135" t="s">
        <v>12</v>
      </c>
      <c r="I101" s="136">
        <v>987263710718</v>
      </c>
      <c r="J101" s="136">
        <v>926058414261381</v>
      </c>
      <c r="K101" s="138" t="s">
        <v>25</v>
      </c>
      <c r="L101" s="136" t="s">
        <v>27</v>
      </c>
      <c r="M101" s="138" t="s">
        <v>22</v>
      </c>
    </row>
    <row r="102" spans="1:13" x14ac:dyDescent="0.35">
      <c r="A102" s="131">
        <v>98</v>
      </c>
      <c r="B102" s="132">
        <v>46077</v>
      </c>
      <c r="C102" s="132">
        <v>46078</v>
      </c>
      <c r="D102" s="133">
        <v>0.83333333333333337</v>
      </c>
      <c r="E102" s="133">
        <v>0.33333333333333331</v>
      </c>
      <c r="F102" s="134">
        <v>430000</v>
      </c>
      <c r="G102" s="134">
        <f t="shared" si="1"/>
        <v>430000</v>
      </c>
      <c r="H102" s="135" t="s">
        <v>12</v>
      </c>
      <c r="I102" s="136">
        <v>987263710718</v>
      </c>
      <c r="J102" s="136">
        <v>926058414261381</v>
      </c>
      <c r="K102" s="138" t="s">
        <v>24</v>
      </c>
      <c r="L102" s="136" t="s">
        <v>27</v>
      </c>
      <c r="M102" s="138" t="s">
        <v>13</v>
      </c>
    </row>
    <row r="103" spans="1:13" x14ac:dyDescent="0.35">
      <c r="A103" s="131">
        <v>99</v>
      </c>
      <c r="B103" s="132">
        <v>46078</v>
      </c>
      <c r="C103" s="132">
        <v>46078</v>
      </c>
      <c r="D103" s="133">
        <v>0.33333333333333331</v>
      </c>
      <c r="E103" s="133">
        <v>0.83333333333333337</v>
      </c>
      <c r="F103" s="134">
        <v>329000</v>
      </c>
      <c r="G103" s="134">
        <f t="shared" si="1"/>
        <v>329000</v>
      </c>
      <c r="H103" s="135" t="s">
        <v>12</v>
      </c>
      <c r="I103" s="136">
        <v>987263722402</v>
      </c>
      <c r="J103" s="136">
        <v>926059414598339</v>
      </c>
      <c r="K103" s="138" t="s">
        <v>25</v>
      </c>
      <c r="L103" s="136" t="s">
        <v>27</v>
      </c>
      <c r="M103" s="138" t="s">
        <v>22</v>
      </c>
    </row>
    <row r="104" spans="1:13" x14ac:dyDescent="0.35">
      <c r="A104" s="131">
        <v>100</v>
      </c>
      <c r="B104" s="132">
        <v>46078</v>
      </c>
      <c r="C104" s="132">
        <v>46078</v>
      </c>
      <c r="D104" s="133">
        <v>0.33333333333333331</v>
      </c>
      <c r="E104" s="133">
        <v>0.83333333333333337</v>
      </c>
      <c r="F104" s="134">
        <v>1012000</v>
      </c>
      <c r="G104" s="134">
        <f t="shared" si="1"/>
        <v>1012000</v>
      </c>
      <c r="H104" s="135" t="s">
        <v>12</v>
      </c>
      <c r="I104" s="136">
        <v>987263722402</v>
      </c>
      <c r="J104" s="136">
        <v>926059414598339</v>
      </c>
      <c r="K104" s="138" t="s">
        <v>20</v>
      </c>
      <c r="L104" s="136" t="s">
        <v>27</v>
      </c>
      <c r="M104" s="138" t="s">
        <v>13</v>
      </c>
    </row>
    <row r="105" spans="1:13" x14ac:dyDescent="0.35">
      <c r="A105" s="131">
        <v>101</v>
      </c>
      <c r="B105" s="132">
        <v>46078</v>
      </c>
      <c r="C105" s="132">
        <v>46079</v>
      </c>
      <c r="D105" s="133">
        <v>0.83333333333333337</v>
      </c>
      <c r="E105" s="133">
        <v>0.33333333333333331</v>
      </c>
      <c r="F105" s="134">
        <v>273000</v>
      </c>
      <c r="G105" s="134">
        <f t="shared" si="1"/>
        <v>273000</v>
      </c>
      <c r="H105" s="135" t="s">
        <v>12</v>
      </c>
      <c r="I105" s="136">
        <v>987263722402</v>
      </c>
      <c r="J105" s="136">
        <v>926059414598339</v>
      </c>
      <c r="K105" s="138" t="s">
        <v>25</v>
      </c>
      <c r="L105" s="136" t="s">
        <v>27</v>
      </c>
      <c r="M105" s="138" t="s">
        <v>22</v>
      </c>
    </row>
    <row r="106" spans="1:13" x14ac:dyDescent="0.35">
      <c r="A106" s="131">
        <v>102</v>
      </c>
      <c r="B106" s="132">
        <v>46078</v>
      </c>
      <c r="C106" s="132">
        <v>46079</v>
      </c>
      <c r="D106" s="133">
        <v>0.83333333333333337</v>
      </c>
      <c r="E106" s="133">
        <v>0.33333333333333331</v>
      </c>
      <c r="F106" s="134">
        <v>518000</v>
      </c>
      <c r="G106" s="134">
        <f t="shared" si="1"/>
        <v>518000</v>
      </c>
      <c r="H106" s="135" t="s">
        <v>12</v>
      </c>
      <c r="I106" s="136">
        <v>987263722402</v>
      </c>
      <c r="J106" s="136">
        <v>926059414598339</v>
      </c>
      <c r="K106" s="138" t="s">
        <v>24</v>
      </c>
      <c r="L106" s="136" t="s">
        <v>27</v>
      </c>
      <c r="M106" s="138" t="s">
        <v>13</v>
      </c>
    </row>
    <row r="107" spans="1:13" x14ac:dyDescent="0.35">
      <c r="A107" s="131">
        <v>103</v>
      </c>
      <c r="B107" s="132">
        <v>46079</v>
      </c>
      <c r="C107" s="132">
        <v>46079</v>
      </c>
      <c r="D107" s="133">
        <v>0.33333333333333331</v>
      </c>
      <c r="E107" s="133">
        <v>0.83333333333333337</v>
      </c>
      <c r="F107" s="134">
        <v>250000</v>
      </c>
      <c r="G107" s="134">
        <f t="shared" si="1"/>
        <v>250000</v>
      </c>
      <c r="H107" s="135" t="s">
        <v>12</v>
      </c>
      <c r="I107" s="136">
        <v>987263733328</v>
      </c>
      <c r="J107" s="136">
        <v>926060414872160</v>
      </c>
      <c r="K107" s="138" t="s">
        <v>16</v>
      </c>
      <c r="L107" s="136" t="s">
        <v>27</v>
      </c>
      <c r="M107" s="138" t="s">
        <v>22</v>
      </c>
    </row>
    <row r="108" spans="1:13" x14ac:dyDescent="0.35">
      <c r="A108" s="131">
        <v>104</v>
      </c>
      <c r="B108" s="132">
        <v>46079</v>
      </c>
      <c r="C108" s="132">
        <v>46079</v>
      </c>
      <c r="D108" s="133">
        <v>0.33333333333333331</v>
      </c>
      <c r="E108" s="133">
        <v>0.83333333333333337</v>
      </c>
      <c r="F108" s="134">
        <v>977000</v>
      </c>
      <c r="G108" s="134">
        <f t="shared" si="1"/>
        <v>977000</v>
      </c>
      <c r="H108" s="135" t="s">
        <v>12</v>
      </c>
      <c r="I108" s="136">
        <v>987263733328</v>
      </c>
      <c r="J108" s="136">
        <v>926060414872160</v>
      </c>
      <c r="K108" s="138" t="s">
        <v>25</v>
      </c>
      <c r="L108" s="136" t="s">
        <v>27</v>
      </c>
      <c r="M108" s="138" t="s">
        <v>13</v>
      </c>
    </row>
    <row r="109" spans="1:13" x14ac:dyDescent="0.35">
      <c r="A109" s="131">
        <v>105</v>
      </c>
      <c r="B109" s="132">
        <v>46079</v>
      </c>
      <c r="C109" s="132">
        <v>46080</v>
      </c>
      <c r="D109" s="133">
        <v>0.83333333333333337</v>
      </c>
      <c r="E109" s="133">
        <v>0.33333333333333331</v>
      </c>
      <c r="F109" s="134">
        <v>174000</v>
      </c>
      <c r="G109" s="134">
        <f t="shared" si="1"/>
        <v>174000</v>
      </c>
      <c r="H109" s="135" t="s">
        <v>12</v>
      </c>
      <c r="I109" s="136">
        <v>987263733328</v>
      </c>
      <c r="J109" s="136">
        <v>926060414872160</v>
      </c>
      <c r="K109" s="138" t="s">
        <v>149</v>
      </c>
      <c r="L109" s="136" t="s">
        <v>27</v>
      </c>
      <c r="M109" s="138" t="s">
        <v>22</v>
      </c>
    </row>
    <row r="110" spans="1:13" x14ac:dyDescent="0.35">
      <c r="A110" s="131">
        <v>106</v>
      </c>
      <c r="B110" s="132">
        <v>46079</v>
      </c>
      <c r="C110" s="132">
        <v>46080</v>
      </c>
      <c r="D110" s="133">
        <v>0.83333333333333337</v>
      </c>
      <c r="E110" s="133">
        <v>0.33333333333333331</v>
      </c>
      <c r="F110" s="134">
        <v>606000</v>
      </c>
      <c r="G110" s="134">
        <f>SUM(F110)</f>
        <v>606000</v>
      </c>
      <c r="H110" s="135" t="s">
        <v>12</v>
      </c>
      <c r="I110" s="136">
        <v>987263733328</v>
      </c>
      <c r="J110" s="136">
        <v>926060414872160</v>
      </c>
      <c r="K110" s="138" t="s">
        <v>20</v>
      </c>
      <c r="L110" s="136" t="s">
        <v>27</v>
      </c>
      <c r="M110" s="138" t="s">
        <v>13</v>
      </c>
    </row>
    <row r="111" spans="1:13" x14ac:dyDescent="0.35">
      <c r="A111" s="131">
        <v>107</v>
      </c>
      <c r="B111" s="132">
        <v>46080</v>
      </c>
      <c r="C111" s="132">
        <v>46080</v>
      </c>
      <c r="D111" s="133">
        <v>0.33333333333333331</v>
      </c>
      <c r="E111" s="133">
        <v>0.83333333333333337</v>
      </c>
      <c r="F111" s="134">
        <v>154000</v>
      </c>
      <c r="G111" s="134">
        <f t="shared" si="1"/>
        <v>154000</v>
      </c>
      <c r="H111" s="135" t="s">
        <v>12</v>
      </c>
      <c r="I111" s="136">
        <v>987263760604</v>
      </c>
      <c r="J111" s="136">
        <v>926063415847455</v>
      </c>
      <c r="K111" s="138" t="s">
        <v>16</v>
      </c>
      <c r="L111" s="136" t="s">
        <v>27</v>
      </c>
      <c r="M111" s="138" t="s">
        <v>22</v>
      </c>
    </row>
    <row r="112" spans="1:13" x14ac:dyDescent="0.35">
      <c r="A112" s="131">
        <v>108</v>
      </c>
      <c r="B112" s="132">
        <v>46080</v>
      </c>
      <c r="C112" s="132">
        <v>46080</v>
      </c>
      <c r="D112" s="133">
        <v>0.33333333333333331</v>
      </c>
      <c r="E112" s="133">
        <v>0.83333333333333337</v>
      </c>
      <c r="F112" s="134">
        <v>1273000</v>
      </c>
      <c r="G112" s="134">
        <f t="shared" si="1"/>
        <v>1273000</v>
      </c>
      <c r="H112" s="135" t="s">
        <v>12</v>
      </c>
      <c r="I112" s="136">
        <v>987263760604</v>
      </c>
      <c r="J112" s="136">
        <v>926063415847455</v>
      </c>
      <c r="K112" s="138" t="s">
        <v>15</v>
      </c>
      <c r="L112" s="136" t="s">
        <v>27</v>
      </c>
      <c r="M112" s="138" t="s">
        <v>13</v>
      </c>
    </row>
    <row r="113" spans="1:13" x14ac:dyDescent="0.35">
      <c r="A113" s="131">
        <v>109</v>
      </c>
      <c r="B113" s="132">
        <v>46080</v>
      </c>
      <c r="C113" s="132">
        <v>46081</v>
      </c>
      <c r="D113" s="133">
        <v>0.83333333333333337</v>
      </c>
      <c r="E113" s="133">
        <v>0.33333333333333331</v>
      </c>
      <c r="F113" s="134">
        <v>352000</v>
      </c>
      <c r="G113" s="134">
        <f t="shared" si="1"/>
        <v>352000</v>
      </c>
      <c r="H113" s="135" t="s">
        <v>12</v>
      </c>
      <c r="I113" s="136">
        <v>987263760604</v>
      </c>
      <c r="J113" s="136">
        <v>926063415847455</v>
      </c>
      <c r="K113" s="138" t="s">
        <v>149</v>
      </c>
      <c r="L113" s="136" t="s">
        <v>27</v>
      </c>
      <c r="M113" s="138" t="s">
        <v>22</v>
      </c>
    </row>
    <row r="114" spans="1:13" x14ac:dyDescent="0.35">
      <c r="A114" s="131">
        <v>110</v>
      </c>
      <c r="B114" s="132">
        <v>46080</v>
      </c>
      <c r="C114" s="132">
        <v>46081</v>
      </c>
      <c r="D114" s="133">
        <v>0.83333333333333337</v>
      </c>
      <c r="E114" s="133">
        <v>0.33333333333333331</v>
      </c>
      <c r="F114" s="134">
        <v>502000</v>
      </c>
      <c r="G114" s="134">
        <f t="shared" si="1"/>
        <v>502000</v>
      </c>
      <c r="H114" s="135" t="s">
        <v>12</v>
      </c>
      <c r="I114" s="136">
        <v>987263760604</v>
      </c>
      <c r="J114" s="136">
        <v>926063415847455</v>
      </c>
      <c r="K114" s="138" t="s">
        <v>20</v>
      </c>
      <c r="L114" s="136" t="s">
        <v>27</v>
      </c>
      <c r="M114" s="138" t="s">
        <v>13</v>
      </c>
    </row>
    <row r="115" spans="1:13" x14ac:dyDescent="0.35">
      <c r="A115" s="131">
        <v>111</v>
      </c>
      <c r="B115" s="132">
        <v>46081</v>
      </c>
      <c r="C115" s="132">
        <v>46081</v>
      </c>
      <c r="D115" s="133">
        <v>0.33333333333333331</v>
      </c>
      <c r="E115" s="133">
        <v>0.83333333333333337</v>
      </c>
      <c r="F115" s="134">
        <v>221000</v>
      </c>
      <c r="G115" s="134">
        <f t="shared" si="1"/>
        <v>221000</v>
      </c>
      <c r="H115" s="135" t="s">
        <v>12</v>
      </c>
      <c r="I115" s="136">
        <v>987263760609</v>
      </c>
      <c r="J115" s="136">
        <v>926063415847786</v>
      </c>
      <c r="K115" s="138" t="s">
        <v>25</v>
      </c>
      <c r="L115" s="136" t="s">
        <v>27</v>
      </c>
      <c r="M115" s="138" t="s">
        <v>21</v>
      </c>
    </row>
    <row r="116" spans="1:13" x14ac:dyDescent="0.35">
      <c r="A116" s="131">
        <v>112</v>
      </c>
      <c r="B116" s="132">
        <v>46081</v>
      </c>
      <c r="C116" s="132">
        <v>46081</v>
      </c>
      <c r="D116" s="133">
        <v>0.33333333333333331</v>
      </c>
      <c r="E116" s="133">
        <v>0.83333333333333337</v>
      </c>
      <c r="F116" s="134">
        <v>1120000</v>
      </c>
      <c r="G116" s="134">
        <f t="shared" si="1"/>
        <v>1120000</v>
      </c>
      <c r="H116" s="135" t="s">
        <v>12</v>
      </c>
      <c r="I116" s="136">
        <v>987263760609</v>
      </c>
      <c r="J116" s="136">
        <v>926063415847786</v>
      </c>
      <c r="K116" s="138" t="s">
        <v>24</v>
      </c>
      <c r="L116" s="136" t="s">
        <v>27</v>
      </c>
      <c r="M116" s="138" t="s">
        <v>13</v>
      </c>
    </row>
    <row r="117" spans="1:13" x14ac:dyDescent="0.35">
      <c r="A117" s="131">
        <v>113</v>
      </c>
      <c r="B117" s="132">
        <v>46081</v>
      </c>
      <c r="C117" s="132">
        <v>46082</v>
      </c>
      <c r="D117" s="133">
        <v>0.83333333333333337</v>
      </c>
      <c r="E117" s="133">
        <v>0.33333333333333331</v>
      </c>
      <c r="F117" s="134">
        <v>255000</v>
      </c>
      <c r="G117" s="134">
        <f t="shared" si="1"/>
        <v>255000</v>
      </c>
      <c r="H117" s="135" t="s">
        <v>12</v>
      </c>
      <c r="I117" s="136">
        <v>987263760609</v>
      </c>
      <c r="J117" s="136">
        <v>926063415847786</v>
      </c>
      <c r="K117" s="138" t="s">
        <v>16</v>
      </c>
      <c r="L117" s="136" t="s">
        <v>27</v>
      </c>
      <c r="M117" s="138" t="s">
        <v>21</v>
      </c>
    </row>
    <row r="118" spans="1:13" x14ac:dyDescent="0.35">
      <c r="A118" s="131">
        <v>114</v>
      </c>
      <c r="B118" s="132">
        <v>46081</v>
      </c>
      <c r="C118" s="132">
        <v>46082</v>
      </c>
      <c r="D118" s="133">
        <v>0.83333333333333337</v>
      </c>
      <c r="E118" s="133">
        <v>0.33333333333333331</v>
      </c>
      <c r="F118" s="134">
        <v>599000</v>
      </c>
      <c r="G118" s="134">
        <f t="shared" si="1"/>
        <v>599000</v>
      </c>
      <c r="H118" s="135" t="s">
        <v>12</v>
      </c>
      <c r="I118" s="136">
        <v>987263760609</v>
      </c>
      <c r="J118" s="136">
        <v>926063415847786</v>
      </c>
      <c r="K118" s="138" t="s">
        <v>15</v>
      </c>
      <c r="L118" s="136" t="s">
        <v>27</v>
      </c>
      <c r="M118" s="138" t="s">
        <v>13</v>
      </c>
    </row>
    <row r="119" spans="1:13" x14ac:dyDescent="0.35">
      <c r="A119" s="25"/>
      <c r="B119" s="25" t="s">
        <v>4</v>
      </c>
      <c r="C119" s="42"/>
      <c r="D119" s="42"/>
      <c r="E119" s="42"/>
      <c r="F119" s="148">
        <f>SUM(F5:F118)</f>
        <v>66990000</v>
      </c>
      <c r="G119" s="148">
        <f>SUM(F119)</f>
        <v>66990000</v>
      </c>
      <c r="H119" s="42"/>
      <c r="I119" s="42"/>
      <c r="J119" s="42"/>
      <c r="K119" s="42"/>
      <c r="L119" s="42"/>
      <c r="M119" s="42"/>
    </row>
  </sheetData>
  <mergeCells count="3">
    <mergeCell ref="B1:M1"/>
    <mergeCell ref="B2:M2"/>
    <mergeCell ref="B3:M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74D19-D16F-457A-A988-D429963D4900}">
  <dimension ref="A1:M146"/>
  <sheetViews>
    <sheetView topLeftCell="C139" zoomScaleNormal="100" workbookViewId="0">
      <selection activeCell="J67" sqref="J67"/>
    </sheetView>
  </sheetViews>
  <sheetFormatPr defaultRowHeight="14.5" x14ac:dyDescent="0.35"/>
  <cols>
    <col min="1" max="1" width="8.7265625" style="1" customWidth="1"/>
    <col min="2" max="2" width="11.36328125" customWidth="1"/>
    <col min="3" max="3" width="11.08984375" customWidth="1"/>
    <col min="4" max="4" width="9.26953125" customWidth="1"/>
    <col min="5" max="5" width="11.08984375" customWidth="1"/>
    <col min="6" max="6" width="20.6328125" style="4" customWidth="1"/>
    <col min="7" max="7" width="19.54296875" customWidth="1"/>
    <col min="8" max="8" width="12.90625" customWidth="1"/>
    <col min="9" max="9" width="15.453125" customWidth="1"/>
    <col min="10" max="10" width="16.08984375" customWidth="1"/>
    <col min="11" max="11" width="14.7265625" style="8" customWidth="1"/>
    <col min="12" max="12" width="20.08984375" customWidth="1"/>
    <col min="13" max="13" width="11.6328125" customWidth="1"/>
  </cols>
  <sheetData>
    <row r="1" spans="1:13" x14ac:dyDescent="0.35">
      <c r="A1" s="149"/>
      <c r="B1" s="382" t="s">
        <v>50</v>
      </c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4"/>
    </row>
    <row r="2" spans="1:13" x14ac:dyDescent="0.35">
      <c r="A2" s="149"/>
      <c r="B2" s="379">
        <v>46082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1"/>
    </row>
    <row r="3" spans="1:13" x14ac:dyDescent="0.35">
      <c r="A3" s="149"/>
      <c r="B3" s="382" t="s">
        <v>155</v>
      </c>
      <c r="C3" s="383"/>
      <c r="D3" s="383"/>
      <c r="E3" s="383"/>
      <c r="F3" s="383"/>
      <c r="G3" s="383"/>
      <c r="H3" s="383"/>
      <c r="I3" s="383"/>
      <c r="J3" s="383"/>
      <c r="K3" s="383"/>
      <c r="L3" s="383"/>
      <c r="M3" s="384"/>
    </row>
    <row r="4" spans="1:13" x14ac:dyDescent="0.35">
      <c r="A4" s="25" t="s">
        <v>52</v>
      </c>
      <c r="B4" s="24" t="s">
        <v>2</v>
      </c>
      <c r="C4" s="25" t="s">
        <v>3</v>
      </c>
      <c r="D4" s="25" t="s">
        <v>0</v>
      </c>
      <c r="E4" s="25" t="s">
        <v>1</v>
      </c>
      <c r="F4" s="109" t="s">
        <v>10</v>
      </c>
      <c r="G4" s="26" t="s">
        <v>9</v>
      </c>
      <c r="H4" s="26" t="s">
        <v>11</v>
      </c>
      <c r="I4" s="27" t="s">
        <v>18</v>
      </c>
      <c r="J4" s="25" t="s">
        <v>17</v>
      </c>
      <c r="K4" s="161" t="s">
        <v>5</v>
      </c>
      <c r="L4" s="25" t="s">
        <v>8</v>
      </c>
      <c r="M4" s="42" t="s">
        <v>6</v>
      </c>
    </row>
    <row r="5" spans="1:13" x14ac:dyDescent="0.35">
      <c r="A5" s="140">
        <v>1</v>
      </c>
      <c r="B5" s="141">
        <v>46082</v>
      </c>
      <c r="C5" s="141">
        <v>46082</v>
      </c>
      <c r="D5" s="142">
        <v>0.33333333333333331</v>
      </c>
      <c r="E5" s="142">
        <v>0.83333333333333337</v>
      </c>
      <c r="F5" s="164">
        <v>755000</v>
      </c>
      <c r="G5" s="143">
        <f t="shared" ref="G5:G8" si="0">SUM(F5)</f>
        <v>755000</v>
      </c>
      <c r="H5" s="144" t="s">
        <v>12</v>
      </c>
      <c r="I5" s="145">
        <v>987263760855</v>
      </c>
      <c r="J5" s="145">
        <v>926064416195457</v>
      </c>
      <c r="K5" s="146" t="s">
        <v>19</v>
      </c>
      <c r="L5" s="145" t="s">
        <v>27</v>
      </c>
      <c r="M5" s="147" t="s">
        <v>22</v>
      </c>
    </row>
    <row r="6" spans="1:13" x14ac:dyDescent="0.35">
      <c r="A6" s="140">
        <v>2</v>
      </c>
      <c r="B6" s="141">
        <v>46082</v>
      </c>
      <c r="C6" s="141">
        <v>46082</v>
      </c>
      <c r="D6" s="142">
        <v>0.33333333333333331</v>
      </c>
      <c r="E6" s="142">
        <v>0.83333333333333337</v>
      </c>
      <c r="F6" s="166">
        <v>1321000</v>
      </c>
      <c r="G6" s="143">
        <f t="shared" si="0"/>
        <v>1321000</v>
      </c>
      <c r="H6" s="144" t="s">
        <v>12</v>
      </c>
      <c r="I6" s="145">
        <v>987263760855</v>
      </c>
      <c r="J6" s="145">
        <v>926064416195457</v>
      </c>
      <c r="K6" s="146" t="s">
        <v>24</v>
      </c>
      <c r="L6" s="145" t="s">
        <v>27</v>
      </c>
      <c r="M6" s="147" t="s">
        <v>124</v>
      </c>
    </row>
    <row r="7" spans="1:13" x14ac:dyDescent="0.35">
      <c r="A7" s="140">
        <v>3</v>
      </c>
      <c r="B7" s="141">
        <v>46082</v>
      </c>
      <c r="C7" s="141">
        <v>46083</v>
      </c>
      <c r="D7" s="142">
        <v>0.83333333333333337</v>
      </c>
      <c r="E7" s="142">
        <v>0.33333333333333331</v>
      </c>
      <c r="F7" s="167">
        <v>324000</v>
      </c>
      <c r="G7" s="143">
        <f t="shared" si="0"/>
        <v>324000</v>
      </c>
      <c r="H7" s="144" t="s">
        <v>12</v>
      </c>
      <c r="I7" s="145">
        <v>987263760855</v>
      </c>
      <c r="J7" s="145">
        <v>926064416195457</v>
      </c>
      <c r="K7" s="146" t="s">
        <v>16</v>
      </c>
      <c r="L7" s="145" t="s">
        <v>27</v>
      </c>
      <c r="M7" s="147" t="s">
        <v>22</v>
      </c>
    </row>
    <row r="8" spans="1:13" x14ac:dyDescent="0.35">
      <c r="A8" s="140">
        <v>4</v>
      </c>
      <c r="B8" s="141">
        <v>46082</v>
      </c>
      <c r="C8" s="141">
        <v>46083</v>
      </c>
      <c r="D8" s="142">
        <v>0.83333333333333337</v>
      </c>
      <c r="E8" s="142">
        <v>0.33333333333333331</v>
      </c>
      <c r="F8" s="166">
        <v>842000</v>
      </c>
      <c r="G8" s="143">
        <f t="shared" si="0"/>
        <v>842000</v>
      </c>
      <c r="H8" s="144" t="s">
        <v>12</v>
      </c>
      <c r="I8" s="145">
        <v>987263760855</v>
      </c>
      <c r="J8" s="145">
        <v>926064416195457</v>
      </c>
      <c r="K8" s="146" t="s">
        <v>20</v>
      </c>
      <c r="L8" s="145" t="s">
        <v>27</v>
      </c>
      <c r="M8" s="147" t="s">
        <v>124</v>
      </c>
    </row>
    <row r="9" spans="1:13" x14ac:dyDescent="0.35">
      <c r="A9" s="140">
        <v>5</v>
      </c>
      <c r="B9" s="141">
        <v>46083</v>
      </c>
      <c r="C9" s="141">
        <v>46083</v>
      </c>
      <c r="D9" s="142">
        <v>0.33333333333333331</v>
      </c>
      <c r="E9" s="142">
        <v>0.83333333333333337</v>
      </c>
      <c r="F9" s="166">
        <v>330000</v>
      </c>
      <c r="G9" s="143">
        <f t="shared" ref="G9:G14" si="1">SUM(F9)</f>
        <v>330000</v>
      </c>
      <c r="H9" s="144" t="s">
        <v>12</v>
      </c>
      <c r="I9" s="145">
        <v>987263760863</v>
      </c>
      <c r="J9" s="145">
        <v>926063415847078</v>
      </c>
      <c r="K9" s="146" t="s">
        <v>19</v>
      </c>
      <c r="L9" s="145" t="s">
        <v>27</v>
      </c>
      <c r="M9" s="147" t="s">
        <v>22</v>
      </c>
    </row>
    <row r="10" spans="1:13" x14ac:dyDescent="0.35">
      <c r="A10" s="140">
        <v>6</v>
      </c>
      <c r="B10" s="141">
        <v>46083</v>
      </c>
      <c r="C10" s="141">
        <v>46083</v>
      </c>
      <c r="D10" s="142">
        <v>0.33333333333333331</v>
      </c>
      <c r="E10" s="142">
        <v>0.83333333333333337</v>
      </c>
      <c r="F10" s="166">
        <v>1011000</v>
      </c>
      <c r="G10" s="143">
        <f t="shared" si="1"/>
        <v>1011000</v>
      </c>
      <c r="H10" s="144" t="s">
        <v>12</v>
      </c>
      <c r="I10" s="145">
        <v>987263760863</v>
      </c>
      <c r="J10" s="145">
        <v>926063415847078</v>
      </c>
      <c r="K10" s="162" t="s">
        <v>24</v>
      </c>
      <c r="L10" s="145" t="s">
        <v>27</v>
      </c>
      <c r="M10" s="147" t="s">
        <v>124</v>
      </c>
    </row>
    <row r="11" spans="1:13" x14ac:dyDescent="0.35">
      <c r="A11" s="140">
        <v>7</v>
      </c>
      <c r="B11" s="141">
        <v>46083</v>
      </c>
      <c r="C11" s="141">
        <v>46084</v>
      </c>
      <c r="D11" s="142">
        <v>0.83333333333333337</v>
      </c>
      <c r="E11" s="142">
        <v>0.33333333333333331</v>
      </c>
      <c r="F11" s="166">
        <v>144000</v>
      </c>
      <c r="G11" s="143">
        <f t="shared" si="1"/>
        <v>144000</v>
      </c>
      <c r="H11" s="144" t="s">
        <v>12</v>
      </c>
      <c r="I11" s="145">
        <v>987263760863</v>
      </c>
      <c r="J11" s="145">
        <v>926063415847078</v>
      </c>
      <c r="K11" s="162" t="s">
        <v>154</v>
      </c>
      <c r="L11" s="145" t="s">
        <v>27</v>
      </c>
      <c r="M11" s="147" t="s">
        <v>22</v>
      </c>
    </row>
    <row r="12" spans="1:13" x14ac:dyDescent="0.35">
      <c r="A12" s="140">
        <v>8</v>
      </c>
      <c r="B12" s="141">
        <v>46083</v>
      </c>
      <c r="C12" s="141">
        <v>46084</v>
      </c>
      <c r="D12" s="142">
        <v>0.83333333333333337</v>
      </c>
      <c r="E12" s="142">
        <v>0.33333333333333331</v>
      </c>
      <c r="F12" s="166">
        <v>444000</v>
      </c>
      <c r="G12" s="143">
        <f t="shared" si="1"/>
        <v>444000</v>
      </c>
      <c r="H12" s="144" t="s">
        <v>12</v>
      </c>
      <c r="I12" s="145">
        <v>987263760863</v>
      </c>
      <c r="J12" s="145">
        <v>926063415847078</v>
      </c>
      <c r="K12" s="162" t="s">
        <v>24</v>
      </c>
      <c r="L12" s="145" t="s">
        <v>27</v>
      </c>
      <c r="M12" s="147" t="s">
        <v>124</v>
      </c>
    </row>
    <row r="13" spans="1:13" x14ac:dyDescent="0.35">
      <c r="A13" s="140">
        <v>9</v>
      </c>
      <c r="B13" s="141">
        <v>46084</v>
      </c>
      <c r="C13" s="141">
        <v>46084</v>
      </c>
      <c r="D13" s="142">
        <v>0.33333333333333331</v>
      </c>
      <c r="E13" s="142">
        <v>0.83333333333333337</v>
      </c>
      <c r="F13" s="166">
        <v>380000</v>
      </c>
      <c r="G13" s="143">
        <f t="shared" si="1"/>
        <v>380000</v>
      </c>
      <c r="H13" s="144" t="s">
        <v>12</v>
      </c>
      <c r="I13" s="145">
        <v>987263779199</v>
      </c>
      <c r="J13" s="145">
        <v>926065416626617</v>
      </c>
      <c r="K13" s="162" t="s">
        <v>19</v>
      </c>
      <c r="L13" s="145" t="s">
        <v>27</v>
      </c>
      <c r="M13" s="147" t="s">
        <v>22</v>
      </c>
    </row>
    <row r="14" spans="1:13" x14ac:dyDescent="0.35">
      <c r="A14" s="140">
        <v>10</v>
      </c>
      <c r="B14" s="141">
        <v>46084</v>
      </c>
      <c r="C14" s="141">
        <v>46084</v>
      </c>
      <c r="D14" s="142">
        <v>0.33333333333333331</v>
      </c>
      <c r="E14" s="142">
        <v>0.83333333333333337</v>
      </c>
      <c r="F14" s="166">
        <v>909000</v>
      </c>
      <c r="G14" s="143">
        <f t="shared" si="1"/>
        <v>909000</v>
      </c>
      <c r="H14" s="144" t="s">
        <v>12</v>
      </c>
      <c r="I14" s="145">
        <v>987263779199</v>
      </c>
      <c r="J14" s="145">
        <v>926065416626617</v>
      </c>
      <c r="K14" s="162" t="s">
        <v>20</v>
      </c>
      <c r="L14" s="145" t="s">
        <v>27</v>
      </c>
      <c r="M14" s="147" t="s">
        <v>124</v>
      </c>
    </row>
    <row r="15" spans="1:13" x14ac:dyDescent="0.35">
      <c r="A15" s="140">
        <v>11</v>
      </c>
      <c r="B15" s="141">
        <v>46084</v>
      </c>
      <c r="C15" s="141">
        <v>46085</v>
      </c>
      <c r="D15" s="142">
        <v>0.83333333333333337</v>
      </c>
      <c r="E15" s="142">
        <v>0.33333333333333331</v>
      </c>
      <c r="F15" s="166">
        <v>171000</v>
      </c>
      <c r="G15" s="143">
        <f t="shared" ref="G15:G144" si="2">SUM(F15)</f>
        <v>171000</v>
      </c>
      <c r="H15" s="144" t="s">
        <v>12</v>
      </c>
      <c r="I15" s="145">
        <v>987263779199</v>
      </c>
      <c r="J15" s="145">
        <v>926065416626617</v>
      </c>
      <c r="K15" s="162" t="s">
        <v>154</v>
      </c>
      <c r="L15" s="145" t="s">
        <v>27</v>
      </c>
      <c r="M15" s="147" t="s">
        <v>22</v>
      </c>
    </row>
    <row r="16" spans="1:13" x14ac:dyDescent="0.35">
      <c r="A16" s="140">
        <v>12</v>
      </c>
      <c r="B16" s="141">
        <v>46084</v>
      </c>
      <c r="C16" s="141">
        <v>46085</v>
      </c>
      <c r="D16" s="142">
        <v>0.83333333333333337</v>
      </c>
      <c r="E16" s="142">
        <v>0.33333333333333331</v>
      </c>
      <c r="F16" s="166">
        <v>451000</v>
      </c>
      <c r="G16" s="143">
        <f t="shared" si="2"/>
        <v>451000</v>
      </c>
      <c r="H16" s="144" t="s">
        <v>12</v>
      </c>
      <c r="I16" s="145">
        <v>987263779199</v>
      </c>
      <c r="J16" s="145">
        <v>926065416626617</v>
      </c>
      <c r="K16" s="162" t="s">
        <v>24</v>
      </c>
      <c r="L16" s="145" t="s">
        <v>27</v>
      </c>
      <c r="M16" s="147" t="s">
        <v>124</v>
      </c>
    </row>
    <row r="17" spans="1:13" x14ac:dyDescent="0.35">
      <c r="A17" s="140">
        <v>13</v>
      </c>
      <c r="B17" s="141">
        <v>46085</v>
      </c>
      <c r="C17" s="141">
        <v>46085</v>
      </c>
      <c r="D17" s="142">
        <v>0.33333333333333331</v>
      </c>
      <c r="E17" s="142">
        <v>0.83333333333333337</v>
      </c>
      <c r="F17" s="166">
        <v>243000</v>
      </c>
      <c r="G17" s="143">
        <f t="shared" si="2"/>
        <v>243000</v>
      </c>
      <c r="H17" s="144" t="s">
        <v>12</v>
      </c>
      <c r="I17" s="145">
        <v>987263779213</v>
      </c>
      <c r="J17" s="145">
        <v>926066416960413</v>
      </c>
      <c r="K17" s="162" t="s">
        <v>16</v>
      </c>
      <c r="L17" s="145" t="s">
        <v>27</v>
      </c>
      <c r="M17" s="147" t="s">
        <v>22</v>
      </c>
    </row>
    <row r="18" spans="1:13" x14ac:dyDescent="0.35">
      <c r="A18" s="140">
        <v>14</v>
      </c>
      <c r="B18" s="141">
        <v>46085</v>
      </c>
      <c r="C18" s="141">
        <v>46085</v>
      </c>
      <c r="D18" s="142">
        <v>0.33333333333333331</v>
      </c>
      <c r="E18" s="142">
        <v>0.83333333333333337</v>
      </c>
      <c r="F18" s="166">
        <v>891000</v>
      </c>
      <c r="G18" s="143">
        <f t="shared" si="2"/>
        <v>891000</v>
      </c>
      <c r="H18" s="144" t="s">
        <v>12</v>
      </c>
      <c r="I18" s="145">
        <v>987263779213</v>
      </c>
      <c r="J18" s="145">
        <v>926066416960413</v>
      </c>
      <c r="K18" s="162" t="s">
        <v>15</v>
      </c>
      <c r="L18" s="145" t="s">
        <v>27</v>
      </c>
      <c r="M18" s="147" t="s">
        <v>124</v>
      </c>
    </row>
    <row r="19" spans="1:13" x14ac:dyDescent="0.35">
      <c r="A19" s="140">
        <v>15</v>
      </c>
      <c r="B19" s="141">
        <v>46085</v>
      </c>
      <c r="C19" s="141">
        <v>46086</v>
      </c>
      <c r="D19" s="142">
        <v>0.83333333333333337</v>
      </c>
      <c r="E19" s="142">
        <v>0.33333333333333331</v>
      </c>
      <c r="F19" s="166">
        <v>132000</v>
      </c>
      <c r="G19" s="143">
        <f t="shared" si="2"/>
        <v>132000</v>
      </c>
      <c r="H19" s="144" t="s">
        <v>12</v>
      </c>
      <c r="I19" s="145">
        <v>987263779213</v>
      </c>
      <c r="J19" s="145">
        <v>926066416960413</v>
      </c>
      <c r="K19" s="162" t="s">
        <v>19</v>
      </c>
      <c r="L19" s="145" t="s">
        <v>27</v>
      </c>
      <c r="M19" s="147" t="s">
        <v>22</v>
      </c>
    </row>
    <row r="20" spans="1:13" x14ac:dyDescent="0.35">
      <c r="A20" s="140">
        <v>16</v>
      </c>
      <c r="B20" s="141">
        <v>46085</v>
      </c>
      <c r="C20" s="141">
        <v>46086</v>
      </c>
      <c r="D20" s="142">
        <v>0.83333333333333337</v>
      </c>
      <c r="E20" s="142">
        <v>0.33333333333333331</v>
      </c>
      <c r="F20" s="166">
        <v>526000</v>
      </c>
      <c r="G20" s="143">
        <f t="shared" si="2"/>
        <v>526000</v>
      </c>
      <c r="H20" s="144" t="s">
        <v>12</v>
      </c>
      <c r="I20" s="145">
        <v>987263779213</v>
      </c>
      <c r="J20" s="145">
        <v>926066416960413</v>
      </c>
      <c r="K20" s="162" t="s">
        <v>20</v>
      </c>
      <c r="L20" s="145" t="s">
        <v>27</v>
      </c>
      <c r="M20" s="147" t="s">
        <v>124</v>
      </c>
    </row>
    <row r="21" spans="1:13" x14ac:dyDescent="0.35">
      <c r="A21" s="140">
        <v>17</v>
      </c>
      <c r="B21" s="141">
        <v>46086</v>
      </c>
      <c r="C21" s="141">
        <v>46086</v>
      </c>
      <c r="D21" s="142">
        <v>0.33333333333333331</v>
      </c>
      <c r="E21" s="142">
        <v>0.83333333333333337</v>
      </c>
      <c r="F21" s="166">
        <v>311000</v>
      </c>
      <c r="G21" s="143">
        <f t="shared" si="2"/>
        <v>311000</v>
      </c>
      <c r="H21" s="144" t="s">
        <v>12</v>
      </c>
      <c r="I21" s="145">
        <v>987263842301</v>
      </c>
      <c r="J21" s="145">
        <v>926072418776568</v>
      </c>
      <c r="K21" s="162" t="s">
        <v>16</v>
      </c>
      <c r="L21" s="145" t="s">
        <v>27</v>
      </c>
      <c r="M21" s="147" t="s">
        <v>21</v>
      </c>
    </row>
    <row r="22" spans="1:13" x14ac:dyDescent="0.35">
      <c r="A22" s="140">
        <v>18</v>
      </c>
      <c r="B22" s="141">
        <v>46086</v>
      </c>
      <c r="C22" s="141">
        <v>46086</v>
      </c>
      <c r="D22" s="142">
        <v>0.33333333333333331</v>
      </c>
      <c r="E22" s="142">
        <v>0.83333333333333337</v>
      </c>
      <c r="F22" s="166">
        <v>886000</v>
      </c>
      <c r="G22" s="143">
        <f t="shared" si="2"/>
        <v>886000</v>
      </c>
      <c r="H22" s="144" t="s">
        <v>12</v>
      </c>
      <c r="I22" s="145">
        <v>987263842301</v>
      </c>
      <c r="J22" s="145">
        <v>926072418776568</v>
      </c>
      <c r="K22" s="162" t="s">
        <v>15</v>
      </c>
      <c r="L22" s="145" t="s">
        <v>27</v>
      </c>
      <c r="M22" s="147" t="s">
        <v>13</v>
      </c>
    </row>
    <row r="23" spans="1:13" ht="15" customHeight="1" x14ac:dyDescent="0.35">
      <c r="A23" s="140">
        <v>19</v>
      </c>
      <c r="B23" s="141">
        <v>46086</v>
      </c>
      <c r="C23" s="141">
        <v>46087</v>
      </c>
      <c r="D23" s="142">
        <v>0.83333333333333337</v>
      </c>
      <c r="E23" s="142">
        <v>0.33333333333333331</v>
      </c>
      <c r="F23" s="166">
        <v>205000</v>
      </c>
      <c r="G23" s="143">
        <f t="shared" si="2"/>
        <v>205000</v>
      </c>
      <c r="H23" s="144" t="s">
        <v>12</v>
      </c>
      <c r="I23" s="145">
        <v>987263842301</v>
      </c>
      <c r="J23" s="145">
        <v>926072418776568</v>
      </c>
      <c r="K23" s="162" t="s">
        <v>19</v>
      </c>
      <c r="L23" s="145" t="s">
        <v>27</v>
      </c>
      <c r="M23" s="147" t="s">
        <v>21</v>
      </c>
    </row>
    <row r="24" spans="1:13" x14ac:dyDescent="0.35">
      <c r="A24" s="140">
        <v>20</v>
      </c>
      <c r="B24" s="141">
        <v>46086</v>
      </c>
      <c r="C24" s="141">
        <v>46087</v>
      </c>
      <c r="D24" s="142">
        <v>0.83333333333333337</v>
      </c>
      <c r="E24" s="142">
        <v>0.33333333333333331</v>
      </c>
      <c r="F24" s="166">
        <v>598000</v>
      </c>
      <c r="G24" s="143">
        <f t="shared" si="2"/>
        <v>598000</v>
      </c>
      <c r="H24" s="144" t="s">
        <v>12</v>
      </c>
      <c r="I24" s="145">
        <v>987263842301</v>
      </c>
      <c r="J24" s="145">
        <v>926072418776568</v>
      </c>
      <c r="K24" s="162" t="s">
        <v>20</v>
      </c>
      <c r="L24" s="145" t="s">
        <v>27</v>
      </c>
      <c r="M24" s="147" t="s">
        <v>13</v>
      </c>
    </row>
    <row r="25" spans="1:13" x14ac:dyDescent="0.35">
      <c r="A25" s="140">
        <v>21</v>
      </c>
      <c r="B25" s="141">
        <v>46087</v>
      </c>
      <c r="C25" s="141">
        <v>46087</v>
      </c>
      <c r="D25" s="142">
        <v>0.33333333333333331</v>
      </c>
      <c r="E25" s="142">
        <v>0.83333333333333337</v>
      </c>
      <c r="F25" s="166">
        <v>508000</v>
      </c>
      <c r="G25" s="143">
        <f t="shared" si="2"/>
        <v>508000</v>
      </c>
      <c r="H25" s="144" t="s">
        <v>12</v>
      </c>
      <c r="I25" s="145">
        <v>987263842309</v>
      </c>
      <c r="J25" s="145">
        <v>926072418775856</v>
      </c>
      <c r="K25" s="162" t="s">
        <v>154</v>
      </c>
      <c r="L25" s="145" t="s">
        <v>27</v>
      </c>
      <c r="M25" s="147" t="s">
        <v>21</v>
      </c>
    </row>
    <row r="26" spans="1:13" x14ac:dyDescent="0.35">
      <c r="A26" s="140">
        <v>22</v>
      </c>
      <c r="B26" s="141">
        <v>46087</v>
      </c>
      <c r="C26" s="141">
        <v>46087</v>
      </c>
      <c r="D26" s="142">
        <v>0.33333333333333331</v>
      </c>
      <c r="E26" s="142">
        <v>0.83333333333333337</v>
      </c>
      <c r="F26" s="166">
        <v>1048000</v>
      </c>
      <c r="G26" s="143">
        <f t="shared" si="2"/>
        <v>1048000</v>
      </c>
      <c r="H26" s="144" t="s">
        <v>12</v>
      </c>
      <c r="I26" s="145">
        <v>987263842309</v>
      </c>
      <c r="J26" s="145">
        <v>926072418775856</v>
      </c>
      <c r="K26" s="162" t="s">
        <v>24</v>
      </c>
      <c r="L26" s="145" t="s">
        <v>27</v>
      </c>
      <c r="M26" s="147" t="s">
        <v>13</v>
      </c>
    </row>
    <row r="27" spans="1:13" x14ac:dyDescent="0.35">
      <c r="A27" s="140">
        <v>23</v>
      </c>
      <c r="B27" s="141">
        <v>46087</v>
      </c>
      <c r="C27" s="141">
        <v>46088</v>
      </c>
      <c r="D27" s="142">
        <v>0.83333333333333337</v>
      </c>
      <c r="E27" s="142">
        <v>0.33333333333333331</v>
      </c>
      <c r="F27" s="166">
        <v>167000</v>
      </c>
      <c r="G27" s="143">
        <f t="shared" si="2"/>
        <v>167000</v>
      </c>
      <c r="H27" s="144" t="s">
        <v>12</v>
      </c>
      <c r="I27" s="145">
        <v>987263842309</v>
      </c>
      <c r="J27" s="145">
        <v>926072418775856</v>
      </c>
      <c r="K27" s="162" t="s">
        <v>19</v>
      </c>
      <c r="L27" s="145" t="s">
        <v>27</v>
      </c>
      <c r="M27" s="147" t="s">
        <v>21</v>
      </c>
    </row>
    <row r="28" spans="1:13" x14ac:dyDescent="0.35">
      <c r="A28" s="140">
        <v>24</v>
      </c>
      <c r="B28" s="141">
        <v>46087</v>
      </c>
      <c r="C28" s="141">
        <v>46088</v>
      </c>
      <c r="D28" s="142">
        <v>0.83333333333333337</v>
      </c>
      <c r="E28" s="142">
        <v>0.33333333333333331</v>
      </c>
      <c r="F28" s="166">
        <v>860000</v>
      </c>
      <c r="G28" s="143">
        <f t="shared" si="2"/>
        <v>860000</v>
      </c>
      <c r="H28" s="144" t="s">
        <v>12</v>
      </c>
      <c r="I28" s="145">
        <v>987263842309</v>
      </c>
      <c r="J28" s="145">
        <v>926072418775856</v>
      </c>
      <c r="K28" s="162" t="s">
        <v>20</v>
      </c>
      <c r="L28" s="145" t="s">
        <v>27</v>
      </c>
      <c r="M28" s="147" t="s">
        <v>13</v>
      </c>
    </row>
    <row r="29" spans="1:13" x14ac:dyDescent="0.35">
      <c r="A29" s="140">
        <v>25</v>
      </c>
      <c r="B29" s="141">
        <v>46088</v>
      </c>
      <c r="C29" s="141">
        <v>46088</v>
      </c>
      <c r="D29" s="142">
        <v>0.33333333333333331</v>
      </c>
      <c r="E29" s="142">
        <v>0.83333333333333337</v>
      </c>
      <c r="F29" s="166">
        <v>303000</v>
      </c>
      <c r="G29" s="143">
        <f t="shared" si="2"/>
        <v>303000</v>
      </c>
      <c r="H29" s="144" t="s">
        <v>12</v>
      </c>
      <c r="I29" s="145">
        <v>987263842320</v>
      </c>
      <c r="J29" s="145">
        <v>926072418777262</v>
      </c>
      <c r="K29" s="162" t="s">
        <v>154</v>
      </c>
      <c r="L29" s="145" t="s">
        <v>27</v>
      </c>
      <c r="M29" s="147" t="s">
        <v>21</v>
      </c>
    </row>
    <row r="30" spans="1:13" x14ac:dyDescent="0.35">
      <c r="A30" s="140">
        <v>26</v>
      </c>
      <c r="B30" s="141">
        <v>46088</v>
      </c>
      <c r="C30" s="141">
        <v>46088</v>
      </c>
      <c r="D30" s="142">
        <v>0.33333333333333331</v>
      </c>
      <c r="E30" s="142">
        <v>0.83333333333333337</v>
      </c>
      <c r="F30" s="166">
        <v>955000</v>
      </c>
      <c r="G30" s="143">
        <f t="shared" si="2"/>
        <v>955000</v>
      </c>
      <c r="H30" s="144" t="s">
        <v>12</v>
      </c>
      <c r="I30" s="145">
        <v>987263842320</v>
      </c>
      <c r="J30" s="145">
        <v>926072418777262</v>
      </c>
      <c r="K30" s="162" t="s">
        <v>24</v>
      </c>
      <c r="L30" s="145" t="s">
        <v>27</v>
      </c>
      <c r="M30" s="147" t="s">
        <v>13</v>
      </c>
    </row>
    <row r="31" spans="1:13" x14ac:dyDescent="0.35">
      <c r="A31" s="140">
        <v>27</v>
      </c>
      <c r="B31" s="141">
        <v>46088</v>
      </c>
      <c r="C31" s="141">
        <v>46089</v>
      </c>
      <c r="D31" s="142">
        <v>0.83333333333333337</v>
      </c>
      <c r="E31" s="142">
        <v>0.33333333333333331</v>
      </c>
      <c r="F31" s="166">
        <v>271000</v>
      </c>
      <c r="G31" s="143">
        <f t="shared" si="2"/>
        <v>271000</v>
      </c>
      <c r="H31" s="144" t="s">
        <v>12</v>
      </c>
      <c r="I31" s="145">
        <v>987263842320</v>
      </c>
      <c r="J31" s="145">
        <v>926072418777262</v>
      </c>
      <c r="K31" s="162" t="s">
        <v>19</v>
      </c>
      <c r="L31" s="145" t="s">
        <v>27</v>
      </c>
      <c r="M31" s="147" t="s">
        <v>21</v>
      </c>
    </row>
    <row r="32" spans="1:13" x14ac:dyDescent="0.35">
      <c r="A32" s="140">
        <v>28</v>
      </c>
      <c r="B32" s="141">
        <v>46088</v>
      </c>
      <c r="C32" s="141">
        <v>46089</v>
      </c>
      <c r="D32" s="142">
        <v>0.83333333333333337</v>
      </c>
      <c r="E32" s="142">
        <v>0.33333333333333331</v>
      </c>
      <c r="F32" s="166">
        <v>753000</v>
      </c>
      <c r="G32" s="143">
        <f t="shared" si="2"/>
        <v>753000</v>
      </c>
      <c r="H32" s="144" t="s">
        <v>12</v>
      </c>
      <c r="I32" s="145">
        <v>987263842320</v>
      </c>
      <c r="J32" s="145">
        <v>926072418777262</v>
      </c>
      <c r="K32" s="162" t="s">
        <v>15</v>
      </c>
      <c r="L32" s="145" t="s">
        <v>27</v>
      </c>
      <c r="M32" s="147" t="s">
        <v>13</v>
      </c>
    </row>
    <row r="33" spans="1:13" x14ac:dyDescent="0.35">
      <c r="A33" s="140">
        <v>29</v>
      </c>
      <c r="B33" s="141">
        <v>46089</v>
      </c>
      <c r="C33" s="141">
        <v>46089</v>
      </c>
      <c r="D33" s="142">
        <v>0.33333333333333331</v>
      </c>
      <c r="E33" s="142">
        <v>0.83333333333333337</v>
      </c>
      <c r="F33" s="166">
        <v>576000</v>
      </c>
      <c r="G33" s="143">
        <f t="shared" si="2"/>
        <v>576000</v>
      </c>
      <c r="H33" s="144" t="s">
        <v>12</v>
      </c>
      <c r="I33" s="145">
        <v>987263842339</v>
      </c>
      <c r="J33" s="145">
        <v>926072418778707</v>
      </c>
      <c r="K33" s="162" t="s">
        <v>19</v>
      </c>
      <c r="L33" s="145" t="s">
        <v>27</v>
      </c>
      <c r="M33" s="147" t="s">
        <v>21</v>
      </c>
    </row>
    <row r="34" spans="1:13" x14ac:dyDescent="0.35">
      <c r="A34" s="140">
        <v>30</v>
      </c>
      <c r="B34" s="141">
        <v>46089</v>
      </c>
      <c r="C34" s="141">
        <v>46089</v>
      </c>
      <c r="D34" s="142">
        <v>0.33333333333333331</v>
      </c>
      <c r="E34" s="142">
        <v>0.83333333333333337</v>
      </c>
      <c r="F34" s="166">
        <v>1329000</v>
      </c>
      <c r="G34" s="143">
        <f t="shared" si="2"/>
        <v>1329000</v>
      </c>
      <c r="H34" s="144" t="s">
        <v>12</v>
      </c>
      <c r="I34" s="145">
        <v>987263842339</v>
      </c>
      <c r="J34" s="145">
        <v>926072418778707</v>
      </c>
      <c r="K34" s="162" t="s">
        <v>20</v>
      </c>
      <c r="L34" s="145" t="s">
        <v>27</v>
      </c>
      <c r="M34" s="147" t="s">
        <v>13</v>
      </c>
    </row>
    <row r="35" spans="1:13" x14ac:dyDescent="0.35">
      <c r="A35" s="140">
        <v>31</v>
      </c>
      <c r="B35" s="141">
        <v>46089</v>
      </c>
      <c r="C35" s="141">
        <v>46090</v>
      </c>
      <c r="D35" s="142">
        <v>0.83333333333333337</v>
      </c>
      <c r="E35" s="142">
        <v>0.33333333333333331</v>
      </c>
      <c r="F35" s="166">
        <v>371000</v>
      </c>
      <c r="G35" s="143">
        <f t="shared" si="2"/>
        <v>371000</v>
      </c>
      <c r="H35" s="144" t="s">
        <v>12</v>
      </c>
      <c r="I35" s="145">
        <v>987263842339</v>
      </c>
      <c r="J35" s="145">
        <v>926072418778707</v>
      </c>
      <c r="K35" s="162" t="s">
        <v>154</v>
      </c>
      <c r="L35" s="145" t="s">
        <v>27</v>
      </c>
      <c r="M35" s="147" t="s">
        <v>21</v>
      </c>
    </row>
    <row r="36" spans="1:13" x14ac:dyDescent="0.35">
      <c r="A36" s="140">
        <v>32</v>
      </c>
      <c r="B36" s="141">
        <v>46089</v>
      </c>
      <c r="C36" s="141">
        <v>46090</v>
      </c>
      <c r="D36" s="142">
        <v>0.83333333333333337</v>
      </c>
      <c r="E36" s="142">
        <v>0.33333333333333331</v>
      </c>
      <c r="F36" s="166">
        <v>1007000</v>
      </c>
      <c r="G36" s="143">
        <f t="shared" si="2"/>
        <v>1007000</v>
      </c>
      <c r="H36" s="144" t="s">
        <v>12</v>
      </c>
      <c r="I36" s="145">
        <v>987263842339</v>
      </c>
      <c r="J36" s="145">
        <v>926072418778707</v>
      </c>
      <c r="K36" s="162" t="s">
        <v>24</v>
      </c>
      <c r="L36" s="145" t="s">
        <v>27</v>
      </c>
      <c r="M36" s="147" t="s">
        <v>13</v>
      </c>
    </row>
    <row r="37" spans="1:13" x14ac:dyDescent="0.35">
      <c r="A37" s="140">
        <v>33</v>
      </c>
      <c r="B37" s="141">
        <v>46090</v>
      </c>
      <c r="C37" s="141">
        <v>46090</v>
      </c>
      <c r="D37" s="142">
        <v>0.33333333333333331</v>
      </c>
      <c r="E37" s="142">
        <v>0.83333333333333337</v>
      </c>
      <c r="F37" s="166">
        <v>472000</v>
      </c>
      <c r="G37" s="143">
        <f t="shared" si="2"/>
        <v>472000</v>
      </c>
      <c r="H37" s="144" t="s">
        <v>12</v>
      </c>
      <c r="I37" s="145">
        <v>987263842347</v>
      </c>
      <c r="J37" s="145">
        <v>926073419059853</v>
      </c>
      <c r="K37" s="162" t="s">
        <v>19</v>
      </c>
      <c r="L37" s="145" t="s">
        <v>27</v>
      </c>
      <c r="M37" s="147" t="s">
        <v>21</v>
      </c>
    </row>
    <row r="38" spans="1:13" x14ac:dyDescent="0.35">
      <c r="A38" s="140">
        <v>34</v>
      </c>
      <c r="B38" s="141">
        <v>46090</v>
      </c>
      <c r="C38" s="141">
        <v>46090</v>
      </c>
      <c r="D38" s="142">
        <v>0.33333333333333331</v>
      </c>
      <c r="E38" s="142">
        <v>0.83333333333333337</v>
      </c>
      <c r="F38" s="166">
        <v>1423000</v>
      </c>
      <c r="G38" s="143">
        <f t="shared" si="2"/>
        <v>1423000</v>
      </c>
      <c r="H38" s="144" t="s">
        <v>12</v>
      </c>
      <c r="I38" s="145">
        <v>987263842347</v>
      </c>
      <c r="J38" s="145">
        <v>926073419059853</v>
      </c>
      <c r="K38" s="162" t="s">
        <v>20</v>
      </c>
      <c r="L38" s="145" t="s">
        <v>27</v>
      </c>
      <c r="M38" s="147" t="s">
        <v>13</v>
      </c>
    </row>
    <row r="39" spans="1:13" x14ac:dyDescent="0.35">
      <c r="A39" s="140">
        <v>35</v>
      </c>
      <c r="B39" s="141">
        <v>46090</v>
      </c>
      <c r="C39" s="141">
        <v>46091</v>
      </c>
      <c r="D39" s="142">
        <v>0.83333333333333337</v>
      </c>
      <c r="E39" s="142">
        <v>0.33333333333333331</v>
      </c>
      <c r="F39" s="166">
        <v>172000</v>
      </c>
      <c r="G39" s="143">
        <f t="shared" si="2"/>
        <v>172000</v>
      </c>
      <c r="H39" s="144" t="s">
        <v>12</v>
      </c>
      <c r="I39" s="145">
        <v>987263842347</v>
      </c>
      <c r="J39" s="145">
        <v>926073419059853</v>
      </c>
      <c r="K39" s="162" t="s">
        <v>154</v>
      </c>
      <c r="L39" s="145" t="s">
        <v>27</v>
      </c>
      <c r="M39" s="147" t="s">
        <v>21</v>
      </c>
    </row>
    <row r="40" spans="1:13" x14ac:dyDescent="0.35">
      <c r="A40" s="140">
        <v>36</v>
      </c>
      <c r="B40" s="141">
        <v>46090</v>
      </c>
      <c r="C40" s="141">
        <v>46091</v>
      </c>
      <c r="D40" s="142">
        <v>0.83333333333333337</v>
      </c>
      <c r="E40" s="142">
        <v>0.33333333333333331</v>
      </c>
      <c r="F40" s="166">
        <v>445000</v>
      </c>
      <c r="G40" s="143">
        <f t="shared" si="2"/>
        <v>445000</v>
      </c>
      <c r="H40" s="144" t="s">
        <v>12</v>
      </c>
      <c r="I40" s="145">
        <v>987263842347</v>
      </c>
      <c r="J40" s="145">
        <v>926073419059853</v>
      </c>
      <c r="K40" s="162" t="s">
        <v>24</v>
      </c>
      <c r="L40" s="145" t="s">
        <v>27</v>
      </c>
      <c r="M40" s="147" t="s">
        <v>13</v>
      </c>
    </row>
    <row r="41" spans="1:13" x14ac:dyDescent="0.35">
      <c r="A41" s="140">
        <v>37</v>
      </c>
      <c r="B41" s="141">
        <v>46091</v>
      </c>
      <c r="C41" s="141">
        <v>46091</v>
      </c>
      <c r="D41" s="142">
        <v>0.33333333333333331</v>
      </c>
      <c r="E41" s="142">
        <v>0.83333333333333337</v>
      </c>
      <c r="F41" s="166">
        <v>399000</v>
      </c>
      <c r="G41" s="143">
        <f t="shared" si="2"/>
        <v>399000</v>
      </c>
      <c r="H41" s="144" t="s">
        <v>12</v>
      </c>
      <c r="I41" s="145">
        <v>987263842352</v>
      </c>
      <c r="J41" s="145">
        <v>926073419057735</v>
      </c>
      <c r="K41" s="162" t="s">
        <v>154</v>
      </c>
      <c r="L41" s="145" t="s">
        <v>27</v>
      </c>
      <c r="M41" s="147" t="s">
        <v>21</v>
      </c>
    </row>
    <row r="42" spans="1:13" x14ac:dyDescent="0.35">
      <c r="A42" s="140">
        <v>38</v>
      </c>
      <c r="B42" s="141">
        <v>46091</v>
      </c>
      <c r="C42" s="141">
        <v>46091</v>
      </c>
      <c r="D42" s="142">
        <v>0.33333333333333331</v>
      </c>
      <c r="E42" s="142">
        <v>0.83333333333333337</v>
      </c>
      <c r="F42" s="166">
        <v>960000</v>
      </c>
      <c r="G42" s="143">
        <f t="shared" si="2"/>
        <v>960000</v>
      </c>
      <c r="H42" s="144" t="s">
        <v>12</v>
      </c>
      <c r="I42" s="145">
        <v>987263842352</v>
      </c>
      <c r="J42" s="145">
        <v>926073419057735</v>
      </c>
      <c r="K42" s="162" t="s">
        <v>15</v>
      </c>
      <c r="L42" s="145" t="s">
        <v>27</v>
      </c>
      <c r="M42" s="147" t="s">
        <v>13</v>
      </c>
    </row>
    <row r="43" spans="1:13" x14ac:dyDescent="0.35">
      <c r="A43" s="140">
        <v>39</v>
      </c>
      <c r="B43" s="141">
        <v>46091</v>
      </c>
      <c r="C43" s="141">
        <v>46092</v>
      </c>
      <c r="D43" s="142">
        <v>0.83333333333333337</v>
      </c>
      <c r="E43" s="142">
        <v>0.33333333333333331</v>
      </c>
      <c r="F43" s="166">
        <v>161000</v>
      </c>
      <c r="G43" s="143">
        <f t="shared" si="2"/>
        <v>161000</v>
      </c>
      <c r="H43" s="144" t="s">
        <v>12</v>
      </c>
      <c r="I43" s="145">
        <v>987263842352</v>
      </c>
      <c r="J43" s="145">
        <v>926073419057735</v>
      </c>
      <c r="K43" s="162" t="s">
        <v>19</v>
      </c>
      <c r="L43" s="145" t="s">
        <v>27</v>
      </c>
      <c r="M43" s="147" t="s">
        <v>21</v>
      </c>
    </row>
    <row r="44" spans="1:13" x14ac:dyDescent="0.35">
      <c r="A44" s="140">
        <v>40</v>
      </c>
      <c r="B44" s="141">
        <v>46091</v>
      </c>
      <c r="C44" s="141">
        <v>46092</v>
      </c>
      <c r="D44" s="142">
        <v>0.83333333333333337</v>
      </c>
      <c r="E44" s="142">
        <v>0.33333333333333331</v>
      </c>
      <c r="F44" s="166">
        <v>650000</v>
      </c>
      <c r="G44" s="143">
        <f t="shared" si="2"/>
        <v>650000</v>
      </c>
      <c r="H44" s="144" t="s">
        <v>12</v>
      </c>
      <c r="I44" s="145">
        <v>987263842352</v>
      </c>
      <c r="J44" s="145">
        <v>926073419057735</v>
      </c>
      <c r="K44" s="162" t="s">
        <v>20</v>
      </c>
      <c r="L44" s="145" t="s">
        <v>27</v>
      </c>
      <c r="M44" s="147" t="s">
        <v>13</v>
      </c>
    </row>
    <row r="45" spans="1:13" x14ac:dyDescent="0.35">
      <c r="A45" s="140">
        <v>41</v>
      </c>
      <c r="B45" s="141">
        <v>46092</v>
      </c>
      <c r="C45" s="141">
        <v>46092</v>
      </c>
      <c r="D45" s="142">
        <v>0.33333333333333331</v>
      </c>
      <c r="E45" s="142">
        <v>0.83333333333333337</v>
      </c>
      <c r="F45" s="166">
        <v>323000</v>
      </c>
      <c r="G45" s="143">
        <f t="shared" si="2"/>
        <v>323000</v>
      </c>
      <c r="H45" s="144" t="s">
        <v>12</v>
      </c>
      <c r="I45" s="145">
        <v>987263853822</v>
      </c>
      <c r="J45" s="145">
        <v>926075419371030</v>
      </c>
      <c r="K45" s="162" t="s">
        <v>19</v>
      </c>
      <c r="L45" s="145" t="s">
        <v>27</v>
      </c>
      <c r="M45" s="147" t="s">
        <v>95</v>
      </c>
    </row>
    <row r="46" spans="1:13" x14ac:dyDescent="0.35">
      <c r="A46" s="140">
        <v>42</v>
      </c>
      <c r="B46" s="141">
        <v>46092</v>
      </c>
      <c r="C46" s="141">
        <v>46092</v>
      </c>
      <c r="D46" s="142">
        <v>0.33333333333333331</v>
      </c>
      <c r="E46" s="142">
        <v>0.83333333333333337</v>
      </c>
      <c r="F46" s="166">
        <v>1006000</v>
      </c>
      <c r="G46" s="143">
        <f t="shared" si="2"/>
        <v>1006000</v>
      </c>
      <c r="H46" s="144" t="s">
        <v>12</v>
      </c>
      <c r="I46" s="145">
        <v>987263853822</v>
      </c>
      <c r="J46" s="145">
        <v>926075419371030</v>
      </c>
      <c r="K46" s="162" t="s">
        <v>15</v>
      </c>
      <c r="L46" s="145" t="s">
        <v>27</v>
      </c>
      <c r="M46" s="147" t="s">
        <v>13</v>
      </c>
    </row>
    <row r="47" spans="1:13" x14ac:dyDescent="0.35">
      <c r="A47" s="140">
        <v>43</v>
      </c>
      <c r="B47" s="141">
        <v>46092</v>
      </c>
      <c r="C47" s="141">
        <v>46093</v>
      </c>
      <c r="D47" s="142">
        <v>0.83333333333333337</v>
      </c>
      <c r="E47" s="142">
        <v>0.33333333333333331</v>
      </c>
      <c r="F47" s="166">
        <v>283000</v>
      </c>
      <c r="G47" s="143">
        <f t="shared" si="2"/>
        <v>283000</v>
      </c>
      <c r="H47" s="144" t="s">
        <v>12</v>
      </c>
      <c r="I47" s="145">
        <v>987263853822</v>
      </c>
      <c r="J47" s="145">
        <v>926075419371030</v>
      </c>
      <c r="K47" s="162" t="s">
        <v>19</v>
      </c>
      <c r="L47" s="145" t="s">
        <v>27</v>
      </c>
      <c r="M47" s="147" t="s">
        <v>21</v>
      </c>
    </row>
    <row r="48" spans="1:13" x14ac:dyDescent="0.35">
      <c r="A48" s="140">
        <v>44</v>
      </c>
      <c r="B48" s="141">
        <v>46092</v>
      </c>
      <c r="C48" s="141">
        <v>46093</v>
      </c>
      <c r="D48" s="142">
        <v>0.83333333333333337</v>
      </c>
      <c r="E48" s="142">
        <v>0.33333333333333331</v>
      </c>
      <c r="F48" s="166">
        <v>607000</v>
      </c>
      <c r="G48" s="143">
        <f t="shared" si="2"/>
        <v>607000</v>
      </c>
      <c r="H48" s="144" t="s">
        <v>12</v>
      </c>
      <c r="I48" s="145">
        <v>987263853822</v>
      </c>
      <c r="J48" s="145">
        <v>926075419371030</v>
      </c>
      <c r="K48" s="162" t="s">
        <v>20</v>
      </c>
      <c r="L48" s="145" t="s">
        <v>27</v>
      </c>
      <c r="M48" s="147" t="s">
        <v>13</v>
      </c>
    </row>
    <row r="49" spans="1:13" x14ac:dyDescent="0.35">
      <c r="A49" s="140">
        <v>45</v>
      </c>
      <c r="B49" s="141">
        <v>46093</v>
      </c>
      <c r="C49" s="141">
        <v>46093</v>
      </c>
      <c r="D49" s="142">
        <v>0.33333333333333331</v>
      </c>
      <c r="E49" s="142">
        <v>0.83333333333333337</v>
      </c>
      <c r="F49" s="166">
        <v>384000</v>
      </c>
      <c r="G49" s="143">
        <f t="shared" si="2"/>
        <v>384000</v>
      </c>
      <c r="H49" s="144" t="s">
        <v>12</v>
      </c>
      <c r="I49" s="145">
        <v>987263853814</v>
      </c>
      <c r="J49" s="145">
        <v>926075419370764</v>
      </c>
      <c r="K49" s="162" t="s">
        <v>154</v>
      </c>
      <c r="L49" s="145" t="s">
        <v>27</v>
      </c>
      <c r="M49" s="147" t="s">
        <v>21</v>
      </c>
    </row>
    <row r="50" spans="1:13" x14ac:dyDescent="0.35">
      <c r="A50" s="140">
        <v>46</v>
      </c>
      <c r="B50" s="141">
        <v>46093</v>
      </c>
      <c r="C50" s="141">
        <v>46093</v>
      </c>
      <c r="D50" s="142">
        <v>0.33333333333333331</v>
      </c>
      <c r="E50" s="142">
        <v>0.83333333333333337</v>
      </c>
      <c r="F50" s="166">
        <v>1191000</v>
      </c>
      <c r="G50" s="143">
        <f t="shared" si="2"/>
        <v>1191000</v>
      </c>
      <c r="H50" s="144" t="s">
        <v>12</v>
      </c>
      <c r="I50" s="145">
        <v>987263853814</v>
      </c>
      <c r="J50" s="145">
        <v>926075419370764</v>
      </c>
      <c r="K50" s="162" t="s">
        <v>24</v>
      </c>
      <c r="L50" s="145" t="s">
        <v>27</v>
      </c>
      <c r="M50" s="147" t="s">
        <v>13</v>
      </c>
    </row>
    <row r="51" spans="1:13" x14ac:dyDescent="0.35">
      <c r="A51" s="140">
        <v>47</v>
      </c>
      <c r="B51" s="141">
        <v>46093</v>
      </c>
      <c r="C51" s="141">
        <v>46094</v>
      </c>
      <c r="D51" s="142">
        <v>0.83333333333333337</v>
      </c>
      <c r="E51" s="142">
        <v>0.33333333333333331</v>
      </c>
      <c r="F51" s="166">
        <v>216000</v>
      </c>
      <c r="G51" s="143">
        <f t="shared" si="2"/>
        <v>216000</v>
      </c>
      <c r="H51" s="144" t="s">
        <v>12</v>
      </c>
      <c r="I51" s="145">
        <v>987263853814</v>
      </c>
      <c r="J51" s="145">
        <v>926075419370764</v>
      </c>
      <c r="K51" s="162" t="s">
        <v>19</v>
      </c>
      <c r="L51" s="145" t="s">
        <v>27</v>
      </c>
      <c r="M51" s="147" t="s">
        <v>21</v>
      </c>
    </row>
    <row r="52" spans="1:13" x14ac:dyDescent="0.35">
      <c r="A52" s="140">
        <v>48</v>
      </c>
      <c r="B52" s="141">
        <v>46093</v>
      </c>
      <c r="C52" s="141">
        <v>46094</v>
      </c>
      <c r="D52" s="142">
        <v>0.83333333333333337</v>
      </c>
      <c r="E52" s="142">
        <v>0.33333333333333331</v>
      </c>
      <c r="F52" s="166">
        <v>608000</v>
      </c>
      <c r="G52" s="143">
        <f t="shared" si="2"/>
        <v>608000</v>
      </c>
      <c r="H52" s="144" t="s">
        <v>12</v>
      </c>
      <c r="I52" s="145">
        <v>987263853814</v>
      </c>
      <c r="J52" s="145">
        <v>926075419370764</v>
      </c>
      <c r="K52" s="162" t="s">
        <v>15</v>
      </c>
      <c r="L52" s="145" t="s">
        <v>27</v>
      </c>
      <c r="M52" s="147" t="s">
        <v>13</v>
      </c>
    </row>
    <row r="53" spans="1:13" x14ac:dyDescent="0.35">
      <c r="A53" s="140">
        <v>49</v>
      </c>
      <c r="B53" s="141">
        <v>46094</v>
      </c>
      <c r="C53" s="141">
        <v>46094</v>
      </c>
      <c r="D53" s="142">
        <v>0.33333333333333331</v>
      </c>
      <c r="E53" s="142">
        <v>0.83333333333333337</v>
      </c>
      <c r="F53" s="166">
        <v>375000</v>
      </c>
      <c r="G53" s="143">
        <f t="shared" si="2"/>
        <v>375000</v>
      </c>
      <c r="H53" s="144" t="s">
        <v>12</v>
      </c>
      <c r="I53" s="145">
        <v>987263879930</v>
      </c>
      <c r="J53" s="145">
        <v>926077420205406</v>
      </c>
      <c r="K53" s="162" t="s">
        <v>154</v>
      </c>
      <c r="L53" s="145" t="s">
        <v>27</v>
      </c>
      <c r="M53" s="147" t="s">
        <v>21</v>
      </c>
    </row>
    <row r="54" spans="1:13" x14ac:dyDescent="0.35">
      <c r="A54" s="140">
        <v>50</v>
      </c>
      <c r="B54" s="141">
        <v>46094</v>
      </c>
      <c r="C54" s="141">
        <v>46094</v>
      </c>
      <c r="D54" s="142">
        <v>0.33333333333333331</v>
      </c>
      <c r="E54" s="142">
        <v>0.83333333333333337</v>
      </c>
      <c r="F54" s="166">
        <v>1243000</v>
      </c>
      <c r="G54" s="143">
        <f t="shared" si="2"/>
        <v>1243000</v>
      </c>
      <c r="H54" s="144" t="s">
        <v>12</v>
      </c>
      <c r="I54" s="145">
        <v>987263879930</v>
      </c>
      <c r="J54" s="145">
        <v>926077420205406</v>
      </c>
      <c r="K54" s="162" t="s">
        <v>24</v>
      </c>
      <c r="L54" s="145" t="s">
        <v>27</v>
      </c>
      <c r="M54" s="147" t="s">
        <v>13</v>
      </c>
    </row>
    <row r="55" spans="1:13" x14ac:dyDescent="0.35">
      <c r="A55" s="140">
        <v>51</v>
      </c>
      <c r="B55" s="141">
        <v>46094</v>
      </c>
      <c r="C55" s="141">
        <v>46095</v>
      </c>
      <c r="D55" s="142">
        <v>0.83333333333333337</v>
      </c>
      <c r="E55" s="142">
        <v>0.33333333333333331</v>
      </c>
      <c r="F55" s="166">
        <v>306000</v>
      </c>
      <c r="G55" s="143">
        <f t="shared" si="2"/>
        <v>306000</v>
      </c>
      <c r="H55" s="144" t="s">
        <v>12</v>
      </c>
      <c r="I55" s="145">
        <v>987263879930</v>
      </c>
      <c r="J55" s="145">
        <v>926077420205406</v>
      </c>
      <c r="K55" s="162" t="s">
        <v>19</v>
      </c>
      <c r="L55" s="145" t="s">
        <v>27</v>
      </c>
      <c r="M55" s="147" t="s">
        <v>21</v>
      </c>
    </row>
    <row r="56" spans="1:13" x14ac:dyDescent="0.35">
      <c r="A56" s="140">
        <v>52</v>
      </c>
      <c r="B56" s="141">
        <v>46094</v>
      </c>
      <c r="C56" s="141">
        <v>46095</v>
      </c>
      <c r="D56" s="142">
        <v>0.83333333333333337</v>
      </c>
      <c r="E56" s="142">
        <v>0.33333333333333331</v>
      </c>
      <c r="F56" s="166">
        <v>643000</v>
      </c>
      <c r="G56" s="143">
        <f t="shared" si="2"/>
        <v>643000</v>
      </c>
      <c r="H56" s="144" t="s">
        <v>12</v>
      </c>
      <c r="I56" s="145">
        <v>987263879930</v>
      </c>
      <c r="J56" s="145">
        <v>926077420205406</v>
      </c>
      <c r="K56" s="162" t="s">
        <v>15</v>
      </c>
      <c r="L56" s="145" t="s">
        <v>27</v>
      </c>
      <c r="M56" s="147" t="s">
        <v>13</v>
      </c>
    </row>
    <row r="57" spans="1:13" x14ac:dyDescent="0.35">
      <c r="A57" s="140">
        <v>53</v>
      </c>
      <c r="B57" s="141">
        <v>46095</v>
      </c>
      <c r="C57" s="141">
        <v>46095</v>
      </c>
      <c r="D57" s="142">
        <v>0.33333333333333331</v>
      </c>
      <c r="E57" s="142">
        <v>0.83333333333333337</v>
      </c>
      <c r="F57" s="166">
        <v>325000</v>
      </c>
      <c r="G57" s="143">
        <f t="shared" si="2"/>
        <v>325000</v>
      </c>
      <c r="H57" s="144" t="s">
        <v>12</v>
      </c>
      <c r="I57" s="145">
        <v>987263879942</v>
      </c>
      <c r="J57" s="145">
        <v>926077420200950</v>
      </c>
      <c r="K57" s="162" t="s">
        <v>19</v>
      </c>
      <c r="L57" s="145" t="s">
        <v>27</v>
      </c>
      <c r="M57" s="147" t="s">
        <v>21</v>
      </c>
    </row>
    <row r="58" spans="1:13" x14ac:dyDescent="0.35">
      <c r="A58" s="140">
        <v>54</v>
      </c>
      <c r="B58" s="141">
        <v>46095</v>
      </c>
      <c r="C58" s="141">
        <v>46095</v>
      </c>
      <c r="D58" s="142">
        <v>0.33333333333333331</v>
      </c>
      <c r="E58" s="142">
        <v>0.83333333333333337</v>
      </c>
      <c r="F58" s="166">
        <v>933000</v>
      </c>
      <c r="G58" s="143">
        <f t="shared" si="2"/>
        <v>933000</v>
      </c>
      <c r="H58" s="144" t="s">
        <v>12</v>
      </c>
      <c r="I58" s="145">
        <v>987263879942</v>
      </c>
      <c r="J58" s="145">
        <v>926077420200950</v>
      </c>
      <c r="K58" s="162" t="s">
        <v>20</v>
      </c>
      <c r="L58" s="145" t="s">
        <v>27</v>
      </c>
      <c r="M58" s="147" t="s">
        <v>13</v>
      </c>
    </row>
    <row r="59" spans="1:13" x14ac:dyDescent="0.35">
      <c r="A59" s="140">
        <v>55</v>
      </c>
      <c r="B59" s="141">
        <v>46095</v>
      </c>
      <c r="C59" s="141">
        <v>46096</v>
      </c>
      <c r="D59" s="142">
        <v>0.83333333333333337</v>
      </c>
      <c r="E59" s="142">
        <v>0.33333333333333331</v>
      </c>
      <c r="F59" s="166">
        <v>265000</v>
      </c>
      <c r="G59" s="143">
        <f t="shared" si="2"/>
        <v>265000</v>
      </c>
      <c r="H59" s="144" t="s">
        <v>12</v>
      </c>
      <c r="I59" s="145">
        <v>987263879942</v>
      </c>
      <c r="J59" s="145">
        <v>926077420200950</v>
      </c>
      <c r="K59" s="162" t="s">
        <v>154</v>
      </c>
      <c r="L59" s="145" t="s">
        <v>27</v>
      </c>
      <c r="M59" s="147" t="s">
        <v>95</v>
      </c>
    </row>
    <row r="60" spans="1:13" x14ac:dyDescent="0.35">
      <c r="A60" s="140">
        <v>56</v>
      </c>
      <c r="B60" s="141">
        <v>46095</v>
      </c>
      <c r="C60" s="141">
        <v>46096</v>
      </c>
      <c r="D60" s="142">
        <v>0.83333333333333337</v>
      </c>
      <c r="E60" s="142">
        <v>0.33333333333333331</v>
      </c>
      <c r="F60" s="166">
        <v>682000</v>
      </c>
      <c r="G60" s="143">
        <f t="shared" si="2"/>
        <v>682000</v>
      </c>
      <c r="H60" s="144" t="s">
        <v>12</v>
      </c>
      <c r="I60" s="145">
        <v>987263879942</v>
      </c>
      <c r="J60" s="145">
        <v>926077420200950</v>
      </c>
      <c r="K60" s="162" t="s">
        <v>24</v>
      </c>
      <c r="L60" s="145" t="s">
        <v>27</v>
      </c>
      <c r="M60" s="147" t="s">
        <v>13</v>
      </c>
    </row>
    <row r="61" spans="1:13" x14ac:dyDescent="0.35">
      <c r="A61" s="140">
        <v>57</v>
      </c>
      <c r="B61" s="141">
        <v>46096</v>
      </c>
      <c r="C61" s="141">
        <v>46096</v>
      </c>
      <c r="D61" s="142">
        <v>0.33333333333333331</v>
      </c>
      <c r="E61" s="142">
        <v>0.83333333333333337</v>
      </c>
      <c r="F61" s="166">
        <v>305000</v>
      </c>
      <c r="G61" s="143">
        <f t="shared" si="2"/>
        <v>305000</v>
      </c>
      <c r="H61" s="144" t="s">
        <v>12</v>
      </c>
      <c r="I61" s="145">
        <v>987263879975</v>
      </c>
      <c r="J61" s="145">
        <v>926077420198165</v>
      </c>
      <c r="K61" s="162" t="s">
        <v>19</v>
      </c>
      <c r="L61" s="145" t="s">
        <v>27</v>
      </c>
      <c r="M61" s="147" t="s">
        <v>21</v>
      </c>
    </row>
    <row r="62" spans="1:13" x14ac:dyDescent="0.35">
      <c r="A62" s="140">
        <v>58</v>
      </c>
      <c r="B62" s="141">
        <v>46096</v>
      </c>
      <c r="C62" s="141">
        <v>46096</v>
      </c>
      <c r="D62" s="142">
        <v>0.33333333333333331</v>
      </c>
      <c r="E62" s="142">
        <v>0.83333333333333337</v>
      </c>
      <c r="F62" s="166">
        <v>1614000</v>
      </c>
      <c r="G62" s="143">
        <f t="shared" si="2"/>
        <v>1614000</v>
      </c>
      <c r="H62" s="144" t="s">
        <v>12</v>
      </c>
      <c r="I62" s="145">
        <v>987263879975</v>
      </c>
      <c r="J62" s="145">
        <v>926077420198165</v>
      </c>
      <c r="K62" s="162" t="s">
        <v>20</v>
      </c>
      <c r="L62" s="145" t="s">
        <v>27</v>
      </c>
      <c r="M62" s="147" t="s">
        <v>13</v>
      </c>
    </row>
    <row r="63" spans="1:13" x14ac:dyDescent="0.35">
      <c r="A63" s="140">
        <v>59</v>
      </c>
      <c r="B63" s="141">
        <v>46096</v>
      </c>
      <c r="C63" s="141">
        <v>46097</v>
      </c>
      <c r="D63" s="142">
        <v>0.83333333333333337</v>
      </c>
      <c r="E63" s="142">
        <v>0.33333333333333331</v>
      </c>
      <c r="F63" s="166">
        <v>304000</v>
      </c>
      <c r="G63" s="143">
        <f t="shared" si="2"/>
        <v>304000</v>
      </c>
      <c r="H63" s="144" t="s">
        <v>12</v>
      </c>
      <c r="I63" s="145">
        <v>987263879975</v>
      </c>
      <c r="J63" s="145">
        <v>926077420198165</v>
      </c>
      <c r="K63" s="162" t="s">
        <v>154</v>
      </c>
      <c r="L63" s="145" t="s">
        <v>27</v>
      </c>
      <c r="M63" s="147" t="s">
        <v>21</v>
      </c>
    </row>
    <row r="64" spans="1:13" x14ac:dyDescent="0.35">
      <c r="A64" s="140">
        <v>60</v>
      </c>
      <c r="B64" s="141">
        <v>46096</v>
      </c>
      <c r="C64" s="141">
        <v>46097</v>
      </c>
      <c r="D64" s="142">
        <v>0.83333333333333337</v>
      </c>
      <c r="E64" s="142">
        <v>0.33333333333333331</v>
      </c>
      <c r="F64" s="166">
        <v>667000</v>
      </c>
      <c r="G64" s="143">
        <f t="shared" si="2"/>
        <v>667000</v>
      </c>
      <c r="H64" s="144" t="s">
        <v>12</v>
      </c>
      <c r="I64" s="145">
        <v>987263879975</v>
      </c>
      <c r="J64" s="145">
        <v>926077420198165</v>
      </c>
      <c r="K64" s="162" t="s">
        <v>24</v>
      </c>
      <c r="L64" s="145" t="s">
        <v>27</v>
      </c>
      <c r="M64" s="147" t="s">
        <v>13</v>
      </c>
    </row>
    <row r="65" spans="1:13" x14ac:dyDescent="0.35">
      <c r="A65" s="140">
        <v>61</v>
      </c>
      <c r="B65" s="141">
        <v>46097</v>
      </c>
      <c r="C65" s="141">
        <v>46097</v>
      </c>
      <c r="D65" s="142">
        <v>0.33333333333333331</v>
      </c>
      <c r="E65" s="142">
        <v>0.83333333333333337</v>
      </c>
      <c r="F65" s="166">
        <v>537000</v>
      </c>
      <c r="G65" s="143">
        <f t="shared" si="2"/>
        <v>537000</v>
      </c>
      <c r="H65" s="144" t="s">
        <v>12</v>
      </c>
      <c r="I65" s="145">
        <v>987263904340</v>
      </c>
      <c r="J65" s="145">
        <v>926079420828698</v>
      </c>
      <c r="K65" s="162" t="s">
        <v>16</v>
      </c>
      <c r="L65" s="145" t="s">
        <v>27</v>
      </c>
      <c r="M65" s="147" t="s">
        <v>21</v>
      </c>
    </row>
    <row r="66" spans="1:13" x14ac:dyDescent="0.35">
      <c r="A66" s="140">
        <v>62</v>
      </c>
      <c r="B66" s="141">
        <v>46097</v>
      </c>
      <c r="C66" s="141">
        <v>46097</v>
      </c>
      <c r="D66" s="142">
        <v>0.33333333333333331</v>
      </c>
      <c r="E66" s="142">
        <v>0.83333333333333337</v>
      </c>
      <c r="F66" s="166">
        <v>1000000</v>
      </c>
      <c r="G66" s="143">
        <f t="shared" si="2"/>
        <v>1000000</v>
      </c>
      <c r="H66" s="144" t="s">
        <v>12</v>
      </c>
      <c r="I66" s="145">
        <v>987263904340</v>
      </c>
      <c r="J66" s="145">
        <v>926079420828698</v>
      </c>
      <c r="K66" s="162" t="s">
        <v>15</v>
      </c>
      <c r="L66" s="145" t="s">
        <v>27</v>
      </c>
      <c r="M66" s="147" t="s">
        <v>13</v>
      </c>
    </row>
    <row r="67" spans="1:13" x14ac:dyDescent="0.35">
      <c r="A67" s="159">
        <v>63</v>
      </c>
      <c r="B67" s="153">
        <v>46097</v>
      </c>
      <c r="C67" s="153">
        <v>46097</v>
      </c>
      <c r="D67" s="154" t="s">
        <v>156</v>
      </c>
      <c r="E67" s="154">
        <v>0.41666666666666669</v>
      </c>
      <c r="F67" s="168">
        <v>111000</v>
      </c>
      <c r="G67" s="155">
        <f t="shared" si="2"/>
        <v>111000</v>
      </c>
      <c r="H67" s="156" t="s">
        <v>12</v>
      </c>
      <c r="I67" s="157">
        <v>987264247974</v>
      </c>
      <c r="J67" s="157">
        <v>926115431836738</v>
      </c>
      <c r="K67" s="160" t="s">
        <v>157</v>
      </c>
      <c r="L67" s="157" t="s">
        <v>27</v>
      </c>
      <c r="M67" s="158" t="s">
        <v>158</v>
      </c>
    </row>
    <row r="68" spans="1:13" x14ac:dyDescent="0.35">
      <c r="A68" s="140">
        <v>64</v>
      </c>
      <c r="B68" s="141">
        <v>46097</v>
      </c>
      <c r="C68" s="141">
        <v>46098</v>
      </c>
      <c r="D68" s="142">
        <v>0.83333333333333337</v>
      </c>
      <c r="E68" s="142">
        <v>0.33333333333333331</v>
      </c>
      <c r="F68" s="166">
        <v>255000</v>
      </c>
      <c r="G68" s="143">
        <f t="shared" si="2"/>
        <v>255000</v>
      </c>
      <c r="H68" s="144" t="s">
        <v>12</v>
      </c>
      <c r="I68" s="145">
        <v>987263904340</v>
      </c>
      <c r="J68" s="145">
        <v>926079420828698</v>
      </c>
      <c r="K68" s="162" t="s">
        <v>19</v>
      </c>
      <c r="L68" s="145" t="s">
        <v>27</v>
      </c>
      <c r="M68" s="147" t="s">
        <v>95</v>
      </c>
    </row>
    <row r="69" spans="1:13" x14ac:dyDescent="0.35">
      <c r="A69" s="140">
        <v>65</v>
      </c>
      <c r="B69" s="141">
        <v>46097</v>
      </c>
      <c r="C69" s="141">
        <v>46098</v>
      </c>
      <c r="D69" s="142">
        <v>0.83333333333333337</v>
      </c>
      <c r="E69" s="142">
        <v>0.33333333333333331</v>
      </c>
      <c r="F69" s="166">
        <v>449000</v>
      </c>
      <c r="G69" s="143">
        <f t="shared" si="2"/>
        <v>449000</v>
      </c>
      <c r="H69" s="144" t="s">
        <v>12</v>
      </c>
      <c r="I69" s="145">
        <v>987263904340</v>
      </c>
      <c r="J69" s="145">
        <v>926079420828698</v>
      </c>
      <c r="K69" s="162" t="s">
        <v>20</v>
      </c>
      <c r="L69" s="145" t="s">
        <v>27</v>
      </c>
      <c r="M69" s="147" t="s">
        <v>13</v>
      </c>
    </row>
    <row r="70" spans="1:13" x14ac:dyDescent="0.35">
      <c r="A70" s="140">
        <v>66</v>
      </c>
      <c r="B70" s="141">
        <v>46098</v>
      </c>
      <c r="C70" s="141">
        <v>46098</v>
      </c>
      <c r="D70" s="142">
        <v>0.33333333333333331</v>
      </c>
      <c r="E70" s="142">
        <v>0.83333333333333337</v>
      </c>
      <c r="F70" s="166">
        <v>331000</v>
      </c>
      <c r="G70" s="143">
        <f t="shared" si="2"/>
        <v>331000</v>
      </c>
      <c r="H70" s="144" t="s">
        <v>12</v>
      </c>
      <c r="I70" s="145">
        <v>987263904359</v>
      </c>
      <c r="J70" s="145">
        <v>926079420829622</v>
      </c>
      <c r="K70" s="162" t="s">
        <v>159</v>
      </c>
      <c r="L70" s="145" t="s">
        <v>27</v>
      </c>
      <c r="M70" s="147" t="s">
        <v>21</v>
      </c>
    </row>
    <row r="71" spans="1:13" x14ac:dyDescent="0.35">
      <c r="A71" s="140">
        <v>67</v>
      </c>
      <c r="B71" s="141">
        <v>46098</v>
      </c>
      <c r="C71" s="141">
        <v>46098</v>
      </c>
      <c r="D71" s="142">
        <v>0.33333333333333331</v>
      </c>
      <c r="E71" s="142">
        <v>0.83333333333333337</v>
      </c>
      <c r="F71" s="166">
        <v>997000</v>
      </c>
      <c r="G71" s="143">
        <f t="shared" si="2"/>
        <v>997000</v>
      </c>
      <c r="H71" s="144" t="s">
        <v>12</v>
      </c>
      <c r="I71" s="145">
        <v>987263904359</v>
      </c>
      <c r="J71" s="145">
        <v>926079420829622</v>
      </c>
      <c r="K71" s="162" t="s">
        <v>15</v>
      </c>
      <c r="L71" s="145" t="s">
        <v>27</v>
      </c>
      <c r="M71" s="147" t="s">
        <v>13</v>
      </c>
    </row>
    <row r="72" spans="1:13" x14ac:dyDescent="0.35">
      <c r="A72" s="159">
        <v>68</v>
      </c>
      <c r="B72" s="153">
        <v>46098</v>
      </c>
      <c r="C72" s="153">
        <v>46098</v>
      </c>
      <c r="D72" s="154">
        <v>0.20833333333333334</v>
      </c>
      <c r="E72" s="154">
        <v>0.91666666666666663</v>
      </c>
      <c r="F72" s="168">
        <v>87000</v>
      </c>
      <c r="G72" s="155">
        <f t="shared" si="2"/>
        <v>87000</v>
      </c>
      <c r="H72" s="156" t="s">
        <v>12</v>
      </c>
      <c r="I72" s="157">
        <v>987264247981</v>
      </c>
      <c r="J72" s="157">
        <v>926115431836371</v>
      </c>
      <c r="K72" s="160" t="s">
        <v>157</v>
      </c>
      <c r="L72" s="159" t="s">
        <v>27</v>
      </c>
      <c r="M72" s="158" t="s">
        <v>158</v>
      </c>
    </row>
    <row r="73" spans="1:13" x14ac:dyDescent="0.35">
      <c r="A73" s="140">
        <v>69</v>
      </c>
      <c r="B73" s="141">
        <v>46098</v>
      </c>
      <c r="C73" s="141">
        <v>46099</v>
      </c>
      <c r="D73" s="142">
        <v>0.83333333333333337</v>
      </c>
      <c r="E73" s="142">
        <v>0.33333333333333331</v>
      </c>
      <c r="F73" s="166">
        <v>254000</v>
      </c>
      <c r="G73" s="143">
        <f t="shared" si="2"/>
        <v>254000</v>
      </c>
      <c r="H73" s="144" t="s">
        <v>12</v>
      </c>
      <c r="I73" s="145">
        <v>987263904359</v>
      </c>
      <c r="J73" s="145">
        <v>926079420829622</v>
      </c>
      <c r="K73" s="162" t="s">
        <v>19</v>
      </c>
      <c r="L73" s="145" t="s">
        <v>27</v>
      </c>
      <c r="M73" s="147" t="s">
        <v>21</v>
      </c>
    </row>
    <row r="74" spans="1:13" x14ac:dyDescent="0.35">
      <c r="A74" s="140">
        <v>70</v>
      </c>
      <c r="B74" s="141">
        <v>46098</v>
      </c>
      <c r="C74" s="141">
        <v>46099</v>
      </c>
      <c r="D74" s="142">
        <v>0.83333333333333337</v>
      </c>
      <c r="E74" s="142">
        <v>0.33333333333333331</v>
      </c>
      <c r="F74" s="166">
        <v>580000</v>
      </c>
      <c r="G74" s="143">
        <f t="shared" si="2"/>
        <v>580000</v>
      </c>
      <c r="H74" s="144" t="s">
        <v>12</v>
      </c>
      <c r="I74" s="145">
        <v>987263904359</v>
      </c>
      <c r="J74" s="145">
        <v>926079420829622</v>
      </c>
      <c r="K74" s="162" t="s">
        <v>20</v>
      </c>
      <c r="L74" s="145" t="s">
        <v>27</v>
      </c>
      <c r="M74" s="147" t="s">
        <v>13</v>
      </c>
    </row>
    <row r="75" spans="1:13" x14ac:dyDescent="0.35">
      <c r="A75" s="140">
        <v>71</v>
      </c>
      <c r="B75" s="141">
        <v>46099</v>
      </c>
      <c r="C75" s="141">
        <v>46099</v>
      </c>
      <c r="D75" s="142">
        <v>0.33333333333333331</v>
      </c>
      <c r="E75" s="142">
        <v>0.83333333333333337</v>
      </c>
      <c r="F75" s="166">
        <v>251000</v>
      </c>
      <c r="G75" s="143">
        <f t="shared" si="2"/>
        <v>251000</v>
      </c>
      <c r="H75" s="144" t="s">
        <v>12</v>
      </c>
      <c r="I75" s="145">
        <v>987263913750</v>
      </c>
      <c r="J75" s="145">
        <v>926080421039382</v>
      </c>
      <c r="K75" s="162" t="s">
        <v>154</v>
      </c>
      <c r="L75" s="145" t="s">
        <v>27</v>
      </c>
      <c r="M75" s="147" t="s">
        <v>21</v>
      </c>
    </row>
    <row r="76" spans="1:13" x14ac:dyDescent="0.35">
      <c r="A76" s="140">
        <v>72</v>
      </c>
      <c r="B76" s="141">
        <v>46099</v>
      </c>
      <c r="C76" s="141">
        <v>46099</v>
      </c>
      <c r="D76" s="142">
        <v>0.33333333333333331</v>
      </c>
      <c r="E76" s="142">
        <v>0.83333333333333337</v>
      </c>
      <c r="F76" s="166">
        <v>1059000</v>
      </c>
      <c r="G76" s="143">
        <f t="shared" si="2"/>
        <v>1059000</v>
      </c>
      <c r="H76" s="144" t="s">
        <v>12</v>
      </c>
      <c r="I76" s="145">
        <v>987263913750</v>
      </c>
      <c r="J76" s="145">
        <v>926080421039382</v>
      </c>
      <c r="K76" s="162" t="s">
        <v>24</v>
      </c>
      <c r="L76" s="145" t="s">
        <v>27</v>
      </c>
      <c r="M76" s="147" t="s">
        <v>13</v>
      </c>
    </row>
    <row r="77" spans="1:13" x14ac:dyDescent="0.35">
      <c r="A77" s="159">
        <v>73</v>
      </c>
      <c r="B77" s="153">
        <v>46099</v>
      </c>
      <c r="C77" s="153">
        <v>46099</v>
      </c>
      <c r="D77" s="154">
        <v>0.20833333333333334</v>
      </c>
      <c r="E77" s="154">
        <v>0.91666666666666663</v>
      </c>
      <c r="F77" s="168">
        <v>114000</v>
      </c>
      <c r="G77" s="155">
        <f t="shared" si="2"/>
        <v>114000</v>
      </c>
      <c r="H77" s="156" t="s">
        <v>12</v>
      </c>
      <c r="I77" s="157">
        <v>987264248047</v>
      </c>
      <c r="J77" s="157">
        <v>926115431836566</v>
      </c>
      <c r="K77" s="160" t="s">
        <v>157</v>
      </c>
      <c r="L77" s="159" t="s">
        <v>27</v>
      </c>
      <c r="M77" s="158" t="s">
        <v>158</v>
      </c>
    </row>
    <row r="78" spans="1:13" x14ac:dyDescent="0.35">
      <c r="A78" s="140">
        <v>74</v>
      </c>
      <c r="B78" s="141">
        <v>46099</v>
      </c>
      <c r="C78" s="141">
        <v>46100</v>
      </c>
      <c r="D78" s="142">
        <v>0.83333333333333337</v>
      </c>
      <c r="E78" s="142">
        <v>0.33333333333333331</v>
      </c>
      <c r="F78" s="166">
        <v>291000</v>
      </c>
      <c r="G78" s="143">
        <f t="shared" si="2"/>
        <v>291000</v>
      </c>
      <c r="H78" s="144" t="s">
        <v>12</v>
      </c>
      <c r="I78" s="145">
        <v>987263913750</v>
      </c>
      <c r="J78" s="145">
        <v>926080421039382</v>
      </c>
      <c r="K78" s="162" t="s">
        <v>19</v>
      </c>
      <c r="L78" s="145" t="s">
        <v>27</v>
      </c>
      <c r="M78" s="147" t="s">
        <v>21</v>
      </c>
    </row>
    <row r="79" spans="1:13" x14ac:dyDescent="0.35">
      <c r="A79" s="140">
        <v>75</v>
      </c>
      <c r="B79" s="141">
        <v>46099</v>
      </c>
      <c r="C79" s="141">
        <v>46100</v>
      </c>
      <c r="D79" s="142">
        <v>0.83333333333333337</v>
      </c>
      <c r="E79" s="142">
        <v>0.33333333333333331</v>
      </c>
      <c r="F79" s="166">
        <v>566000</v>
      </c>
      <c r="G79" s="143">
        <f t="shared" si="2"/>
        <v>566000</v>
      </c>
      <c r="H79" s="144" t="s">
        <v>12</v>
      </c>
      <c r="I79" s="145">
        <v>987263913750</v>
      </c>
      <c r="J79" s="145">
        <v>926080421039382</v>
      </c>
      <c r="K79" s="162" t="s">
        <v>20</v>
      </c>
      <c r="L79" s="145" t="s">
        <v>27</v>
      </c>
      <c r="M79" s="147" t="s">
        <v>13</v>
      </c>
    </row>
    <row r="80" spans="1:13" x14ac:dyDescent="0.35">
      <c r="A80" s="140">
        <v>76</v>
      </c>
      <c r="B80" s="141">
        <v>46100</v>
      </c>
      <c r="C80" s="141">
        <v>46100</v>
      </c>
      <c r="D80" s="142">
        <v>0.33333333333333331</v>
      </c>
      <c r="E80" s="142">
        <v>0.83333333333333337</v>
      </c>
      <c r="F80" s="166">
        <v>419000</v>
      </c>
      <c r="G80" s="143">
        <f t="shared" si="2"/>
        <v>419000</v>
      </c>
      <c r="H80" s="144" t="s">
        <v>12</v>
      </c>
      <c r="I80" s="145">
        <v>987263923620</v>
      </c>
      <c r="J80" s="145">
        <v>926080421428390</v>
      </c>
      <c r="K80" s="162" t="s">
        <v>154</v>
      </c>
      <c r="L80" s="145" t="s">
        <v>27</v>
      </c>
      <c r="M80" s="147" t="s">
        <v>21</v>
      </c>
    </row>
    <row r="81" spans="1:13" x14ac:dyDescent="0.35">
      <c r="A81" s="140">
        <v>77</v>
      </c>
      <c r="B81" s="141">
        <v>46100</v>
      </c>
      <c r="C81" s="141">
        <v>46100</v>
      </c>
      <c r="D81" s="142">
        <v>0.33333333333333331</v>
      </c>
      <c r="E81" s="142">
        <v>0.83333333333333337</v>
      </c>
      <c r="F81" s="166">
        <v>1171000</v>
      </c>
      <c r="G81" s="143">
        <f t="shared" si="2"/>
        <v>1171000</v>
      </c>
      <c r="H81" s="144" t="s">
        <v>12</v>
      </c>
      <c r="I81" s="145">
        <v>987263923620</v>
      </c>
      <c r="J81" s="145">
        <v>926080421428390</v>
      </c>
      <c r="K81" s="162" t="s">
        <v>24</v>
      </c>
      <c r="L81" s="145" t="s">
        <v>27</v>
      </c>
      <c r="M81" s="147" t="s">
        <v>13</v>
      </c>
    </row>
    <row r="82" spans="1:13" x14ac:dyDescent="0.35">
      <c r="A82" s="159">
        <v>78</v>
      </c>
      <c r="B82" s="153">
        <v>46100</v>
      </c>
      <c r="C82" s="153">
        <v>46100</v>
      </c>
      <c r="D82" s="154">
        <v>0.20833333333333334</v>
      </c>
      <c r="E82" s="154">
        <v>0.91666666666666663</v>
      </c>
      <c r="F82" s="168">
        <v>128000</v>
      </c>
      <c r="G82" s="155">
        <f t="shared" si="2"/>
        <v>128000</v>
      </c>
      <c r="H82" s="156" t="s">
        <v>12</v>
      </c>
      <c r="I82" s="157">
        <v>987264285895</v>
      </c>
      <c r="J82" s="157">
        <v>926117432370386</v>
      </c>
      <c r="K82" s="160" t="s">
        <v>157</v>
      </c>
      <c r="L82" s="159" t="s">
        <v>27</v>
      </c>
      <c r="M82" s="158" t="s">
        <v>158</v>
      </c>
    </row>
    <row r="83" spans="1:13" x14ac:dyDescent="0.35">
      <c r="A83" s="140">
        <v>79</v>
      </c>
      <c r="B83" s="141">
        <v>46100</v>
      </c>
      <c r="C83" s="141">
        <v>46101</v>
      </c>
      <c r="D83" s="142">
        <v>0.83333333333333337</v>
      </c>
      <c r="E83" s="142">
        <v>0.33333333333333331</v>
      </c>
      <c r="F83" s="143">
        <v>197000</v>
      </c>
      <c r="G83" s="143">
        <f t="shared" si="2"/>
        <v>197000</v>
      </c>
      <c r="H83" s="144" t="s">
        <v>12</v>
      </c>
      <c r="I83" s="145">
        <v>987263923620</v>
      </c>
      <c r="J83" s="145">
        <v>926080421428390</v>
      </c>
      <c r="K83" s="162" t="s">
        <v>154</v>
      </c>
      <c r="L83" s="145" t="s">
        <v>27</v>
      </c>
      <c r="M83" s="147" t="s">
        <v>21</v>
      </c>
    </row>
    <row r="84" spans="1:13" x14ac:dyDescent="0.35">
      <c r="A84" s="140">
        <v>80</v>
      </c>
      <c r="B84" s="141">
        <v>46100</v>
      </c>
      <c r="C84" s="141">
        <v>46101</v>
      </c>
      <c r="D84" s="142">
        <v>0.83333333333333337</v>
      </c>
      <c r="E84" s="142">
        <v>0.33333333333333331</v>
      </c>
      <c r="F84" s="143">
        <v>626000</v>
      </c>
      <c r="G84" s="143">
        <f t="shared" si="2"/>
        <v>626000</v>
      </c>
      <c r="H84" s="144" t="s">
        <v>12</v>
      </c>
      <c r="I84" s="145">
        <v>987263923620</v>
      </c>
      <c r="J84" s="145">
        <v>926080421428390</v>
      </c>
      <c r="K84" s="162" t="s">
        <v>15</v>
      </c>
      <c r="L84" s="145" t="s">
        <v>27</v>
      </c>
      <c r="M84" s="147" t="s">
        <v>13</v>
      </c>
    </row>
    <row r="85" spans="1:13" x14ac:dyDescent="0.35">
      <c r="A85" s="140">
        <v>81</v>
      </c>
      <c r="B85" s="141">
        <v>46101</v>
      </c>
      <c r="C85" s="141">
        <v>46101</v>
      </c>
      <c r="D85" s="142">
        <v>0.33333333333333331</v>
      </c>
      <c r="E85" s="142">
        <v>0.83333333333333337</v>
      </c>
      <c r="F85" s="143">
        <v>427000</v>
      </c>
      <c r="G85" s="143">
        <f t="shared" si="2"/>
        <v>427000</v>
      </c>
      <c r="H85" s="144" t="s">
        <v>12</v>
      </c>
      <c r="I85" s="145">
        <v>987263948205</v>
      </c>
      <c r="J85" s="140" t="s">
        <v>45</v>
      </c>
      <c r="K85" s="162" t="s">
        <v>19</v>
      </c>
      <c r="L85" s="145" t="s">
        <v>27</v>
      </c>
      <c r="M85" s="147" t="s">
        <v>21</v>
      </c>
    </row>
    <row r="86" spans="1:13" x14ac:dyDescent="0.35">
      <c r="A86" s="140">
        <v>82</v>
      </c>
      <c r="B86" s="141">
        <v>46101</v>
      </c>
      <c r="C86" s="141">
        <v>46101</v>
      </c>
      <c r="D86" s="142">
        <v>0.33333333333333331</v>
      </c>
      <c r="E86" s="142">
        <v>0.83333333333333337</v>
      </c>
      <c r="F86" s="143">
        <v>1003000</v>
      </c>
      <c r="G86" s="143">
        <f t="shared" si="2"/>
        <v>1003000</v>
      </c>
      <c r="H86" s="144" t="s">
        <v>12</v>
      </c>
      <c r="I86" s="145">
        <v>987263948205</v>
      </c>
      <c r="J86" s="140" t="s">
        <v>45</v>
      </c>
      <c r="K86" s="162" t="s">
        <v>20</v>
      </c>
      <c r="L86" s="145" t="s">
        <v>27</v>
      </c>
      <c r="M86" s="147" t="s">
        <v>13</v>
      </c>
    </row>
    <row r="87" spans="1:13" x14ac:dyDescent="0.35">
      <c r="A87" s="159">
        <v>83</v>
      </c>
      <c r="B87" s="153">
        <v>46101</v>
      </c>
      <c r="C87" s="153">
        <v>46101</v>
      </c>
      <c r="D87" s="154">
        <v>0.20833333333333334</v>
      </c>
      <c r="E87" s="154">
        <v>0.91666666666666663</v>
      </c>
      <c r="F87" s="155">
        <v>99000</v>
      </c>
      <c r="G87" s="155">
        <f t="shared" si="2"/>
        <v>99000</v>
      </c>
      <c r="H87" s="156" t="s">
        <v>12</v>
      </c>
      <c r="I87" s="157">
        <v>987264248091</v>
      </c>
      <c r="J87" s="157">
        <v>926115431855478</v>
      </c>
      <c r="K87" s="160" t="s">
        <v>157</v>
      </c>
      <c r="L87" s="159" t="s">
        <v>27</v>
      </c>
      <c r="M87" s="158" t="s">
        <v>158</v>
      </c>
    </row>
    <row r="88" spans="1:13" x14ac:dyDescent="0.35">
      <c r="A88" s="140">
        <v>84</v>
      </c>
      <c r="B88" s="141">
        <v>46101</v>
      </c>
      <c r="C88" s="141">
        <v>46102</v>
      </c>
      <c r="D88" s="142">
        <v>0.83333333333333337</v>
      </c>
      <c r="E88" s="142">
        <v>0.33333333333333331</v>
      </c>
      <c r="F88" s="143">
        <v>273000</v>
      </c>
      <c r="G88" s="143">
        <f t="shared" si="2"/>
        <v>273000</v>
      </c>
      <c r="H88" s="144" t="s">
        <v>12</v>
      </c>
      <c r="I88" s="145">
        <v>987263948205</v>
      </c>
      <c r="J88" s="140" t="s">
        <v>45</v>
      </c>
      <c r="K88" s="162" t="s">
        <v>154</v>
      </c>
      <c r="L88" s="145" t="s">
        <v>27</v>
      </c>
      <c r="M88" s="147" t="s">
        <v>21</v>
      </c>
    </row>
    <row r="89" spans="1:13" x14ac:dyDescent="0.35">
      <c r="A89" s="140">
        <v>85</v>
      </c>
      <c r="B89" s="141">
        <v>46101</v>
      </c>
      <c r="C89" s="141">
        <v>46102</v>
      </c>
      <c r="D89" s="142">
        <v>0.83333333333333337</v>
      </c>
      <c r="E89" s="142">
        <v>0.33333333333333331</v>
      </c>
      <c r="F89" s="143">
        <v>707000</v>
      </c>
      <c r="G89" s="143">
        <f t="shared" si="2"/>
        <v>707000</v>
      </c>
      <c r="H89" s="144" t="s">
        <v>12</v>
      </c>
      <c r="I89" s="145">
        <v>987263948205</v>
      </c>
      <c r="J89" s="140" t="s">
        <v>45</v>
      </c>
      <c r="K89" s="162" t="s">
        <v>24</v>
      </c>
      <c r="L89" s="145" t="s">
        <v>27</v>
      </c>
      <c r="M89" s="147" t="s">
        <v>13</v>
      </c>
    </row>
    <row r="90" spans="1:13" x14ac:dyDescent="0.35">
      <c r="A90" s="140">
        <v>86</v>
      </c>
      <c r="B90" s="141">
        <v>46102</v>
      </c>
      <c r="C90" s="141">
        <v>46102</v>
      </c>
      <c r="D90" s="142">
        <v>0.33333333333333331</v>
      </c>
      <c r="E90" s="142">
        <v>0.83333333333333337</v>
      </c>
      <c r="F90" s="143">
        <v>341000</v>
      </c>
      <c r="G90" s="143">
        <f t="shared" si="2"/>
        <v>341000</v>
      </c>
      <c r="H90" s="144" t="s">
        <v>12</v>
      </c>
      <c r="I90" s="145">
        <v>987263948224</v>
      </c>
      <c r="J90" s="140" t="s">
        <v>45</v>
      </c>
      <c r="K90" s="162" t="s">
        <v>19</v>
      </c>
      <c r="L90" s="145" t="s">
        <v>27</v>
      </c>
      <c r="M90" s="147" t="s">
        <v>21</v>
      </c>
    </row>
    <row r="91" spans="1:13" x14ac:dyDescent="0.35">
      <c r="A91" s="140">
        <v>87</v>
      </c>
      <c r="B91" s="141">
        <v>46102</v>
      </c>
      <c r="C91" s="141">
        <v>46102</v>
      </c>
      <c r="D91" s="142">
        <v>0.33333333333333331</v>
      </c>
      <c r="E91" s="142">
        <v>0.83333333333333337</v>
      </c>
      <c r="F91" s="143">
        <v>871000</v>
      </c>
      <c r="G91" s="143">
        <f t="shared" si="2"/>
        <v>871000</v>
      </c>
      <c r="H91" s="144" t="s">
        <v>12</v>
      </c>
      <c r="I91" s="145">
        <v>987263948224</v>
      </c>
      <c r="J91" s="140" t="s">
        <v>45</v>
      </c>
      <c r="K91" s="162" t="s">
        <v>20</v>
      </c>
      <c r="L91" s="145" t="s">
        <v>27</v>
      </c>
      <c r="M91" s="147" t="s">
        <v>13</v>
      </c>
    </row>
    <row r="92" spans="1:13" x14ac:dyDescent="0.35">
      <c r="A92" s="159">
        <v>88</v>
      </c>
      <c r="B92" s="153">
        <v>46102</v>
      </c>
      <c r="C92" s="153">
        <v>46102</v>
      </c>
      <c r="D92" s="154">
        <v>0.20833333333333334</v>
      </c>
      <c r="E92" s="154">
        <v>0.91666666666666663</v>
      </c>
      <c r="F92" s="155">
        <v>87000</v>
      </c>
      <c r="G92" s="155">
        <f t="shared" si="2"/>
        <v>87000</v>
      </c>
      <c r="H92" s="156" t="s">
        <v>12</v>
      </c>
      <c r="I92" s="157">
        <v>987264248108</v>
      </c>
      <c r="J92" s="157">
        <v>926115431853665</v>
      </c>
      <c r="K92" s="160" t="s">
        <v>157</v>
      </c>
      <c r="L92" s="159" t="s">
        <v>27</v>
      </c>
      <c r="M92" s="158" t="s">
        <v>158</v>
      </c>
    </row>
    <row r="93" spans="1:13" x14ac:dyDescent="0.35">
      <c r="A93" s="140">
        <v>89</v>
      </c>
      <c r="B93" s="141">
        <v>46102</v>
      </c>
      <c r="C93" s="141">
        <v>46103</v>
      </c>
      <c r="D93" s="142">
        <v>0.83333333333333337</v>
      </c>
      <c r="E93" s="142">
        <v>0.33333333333333331</v>
      </c>
      <c r="F93" s="143">
        <v>196000</v>
      </c>
      <c r="G93" s="143">
        <f t="shared" si="2"/>
        <v>196000</v>
      </c>
      <c r="H93" s="144" t="s">
        <v>12</v>
      </c>
      <c r="I93" s="145">
        <v>987263948224</v>
      </c>
      <c r="J93" s="140" t="s">
        <v>153</v>
      </c>
      <c r="K93" s="162" t="s">
        <v>154</v>
      </c>
      <c r="L93" s="145" t="s">
        <v>27</v>
      </c>
      <c r="M93" s="147" t="s">
        <v>21</v>
      </c>
    </row>
    <row r="94" spans="1:13" x14ac:dyDescent="0.35">
      <c r="A94" s="140">
        <v>90</v>
      </c>
      <c r="B94" s="141">
        <v>46102</v>
      </c>
      <c r="C94" s="141">
        <v>46103</v>
      </c>
      <c r="D94" s="142">
        <v>0.83333333333333337</v>
      </c>
      <c r="E94" s="142">
        <v>0.33333333333333331</v>
      </c>
      <c r="F94" s="143">
        <v>504000</v>
      </c>
      <c r="G94" s="143">
        <f t="shared" si="2"/>
        <v>504000</v>
      </c>
      <c r="H94" s="144" t="s">
        <v>12</v>
      </c>
      <c r="I94" s="145">
        <v>987263948224</v>
      </c>
      <c r="J94" s="140" t="s">
        <v>153</v>
      </c>
      <c r="K94" s="162" t="s">
        <v>24</v>
      </c>
      <c r="L94" s="145" t="s">
        <v>27</v>
      </c>
      <c r="M94" s="147" t="s">
        <v>13</v>
      </c>
    </row>
    <row r="95" spans="1:13" x14ac:dyDescent="0.35">
      <c r="A95" s="140">
        <v>91</v>
      </c>
      <c r="B95" s="141">
        <v>46103</v>
      </c>
      <c r="C95" s="141">
        <v>46103</v>
      </c>
      <c r="D95" s="142">
        <v>0.33333333333333331</v>
      </c>
      <c r="E95" s="142">
        <v>0.83333333333333337</v>
      </c>
      <c r="F95" s="143">
        <v>732000</v>
      </c>
      <c r="G95" s="143">
        <f t="shared" si="2"/>
        <v>732000</v>
      </c>
      <c r="H95" s="144" t="s">
        <v>12</v>
      </c>
      <c r="I95" s="145">
        <v>987263948247</v>
      </c>
      <c r="J95" s="140" t="s">
        <v>153</v>
      </c>
      <c r="K95" s="162" t="s">
        <v>19</v>
      </c>
      <c r="L95" s="145" t="s">
        <v>27</v>
      </c>
      <c r="M95" s="147" t="s">
        <v>21</v>
      </c>
    </row>
    <row r="96" spans="1:13" x14ac:dyDescent="0.35">
      <c r="A96" s="140">
        <v>92</v>
      </c>
      <c r="B96" s="141">
        <v>46103</v>
      </c>
      <c r="C96" s="141">
        <v>46103</v>
      </c>
      <c r="D96" s="142">
        <v>0.33333333333333331</v>
      </c>
      <c r="E96" s="142">
        <v>0.83333333333333337</v>
      </c>
      <c r="F96" s="143">
        <v>1346000</v>
      </c>
      <c r="G96" s="143">
        <f t="shared" si="2"/>
        <v>1346000</v>
      </c>
      <c r="H96" s="144" t="s">
        <v>12</v>
      </c>
      <c r="I96" s="145">
        <v>987263948247</v>
      </c>
      <c r="J96" s="140" t="s">
        <v>153</v>
      </c>
      <c r="K96" s="162" t="s">
        <v>15</v>
      </c>
      <c r="L96" s="145" t="s">
        <v>27</v>
      </c>
      <c r="M96" s="147" t="s">
        <v>13</v>
      </c>
    </row>
    <row r="97" spans="1:13" x14ac:dyDescent="0.35">
      <c r="A97" s="159">
        <v>93</v>
      </c>
      <c r="B97" s="153">
        <v>46103</v>
      </c>
      <c r="C97" s="153">
        <v>46103</v>
      </c>
      <c r="D97" s="154">
        <v>0.20833333333333334</v>
      </c>
      <c r="E97" s="154">
        <v>0.91666666666666663</v>
      </c>
      <c r="F97" s="155">
        <v>140000</v>
      </c>
      <c r="G97" s="155">
        <f t="shared" si="2"/>
        <v>140000</v>
      </c>
      <c r="H97" s="156" t="s">
        <v>12</v>
      </c>
      <c r="I97" s="157">
        <v>987264248120</v>
      </c>
      <c r="J97" s="157">
        <v>926115431855665</v>
      </c>
      <c r="K97" s="160" t="s">
        <v>157</v>
      </c>
      <c r="L97" s="159" t="s">
        <v>27</v>
      </c>
      <c r="M97" s="158" t="s">
        <v>158</v>
      </c>
    </row>
    <row r="98" spans="1:13" x14ac:dyDescent="0.35">
      <c r="A98" s="140">
        <v>94</v>
      </c>
      <c r="B98" s="141">
        <v>46103</v>
      </c>
      <c r="C98" s="141">
        <v>46104</v>
      </c>
      <c r="D98" s="142">
        <v>0.83333333333333337</v>
      </c>
      <c r="E98" s="142">
        <v>0.33333333333333331</v>
      </c>
      <c r="F98" s="143">
        <v>254000</v>
      </c>
      <c r="G98" s="143">
        <f t="shared" si="2"/>
        <v>254000</v>
      </c>
      <c r="H98" s="144" t="s">
        <v>12</v>
      </c>
      <c r="I98" s="145">
        <v>987263948247</v>
      </c>
      <c r="J98" s="140" t="s">
        <v>153</v>
      </c>
      <c r="K98" s="162" t="s">
        <v>19</v>
      </c>
      <c r="L98" s="145" t="s">
        <v>27</v>
      </c>
      <c r="M98" s="147" t="s">
        <v>95</v>
      </c>
    </row>
    <row r="99" spans="1:13" x14ac:dyDescent="0.35">
      <c r="A99" s="140">
        <v>95</v>
      </c>
      <c r="B99" s="141">
        <v>46103</v>
      </c>
      <c r="C99" s="141">
        <v>46104</v>
      </c>
      <c r="D99" s="142">
        <v>0.83333333333333337</v>
      </c>
      <c r="E99" s="142">
        <v>0.33333333333333331</v>
      </c>
      <c r="F99" s="143">
        <v>646000</v>
      </c>
      <c r="G99" s="143">
        <f t="shared" si="2"/>
        <v>646000</v>
      </c>
      <c r="H99" s="144" t="s">
        <v>12</v>
      </c>
      <c r="I99" s="145">
        <v>987263948247</v>
      </c>
      <c r="J99" s="140" t="s">
        <v>153</v>
      </c>
      <c r="K99" s="162" t="s">
        <v>20</v>
      </c>
      <c r="L99" s="145" t="s">
        <v>27</v>
      </c>
      <c r="M99" s="147" t="s">
        <v>13</v>
      </c>
    </row>
    <row r="100" spans="1:13" x14ac:dyDescent="0.35">
      <c r="A100" s="140">
        <v>96</v>
      </c>
      <c r="B100" s="141">
        <v>46104</v>
      </c>
      <c r="C100" s="141">
        <v>46104</v>
      </c>
      <c r="D100" s="142">
        <v>0.33333333333333331</v>
      </c>
      <c r="E100" s="142">
        <v>0.83333333333333337</v>
      </c>
      <c r="F100" s="143">
        <v>499000</v>
      </c>
      <c r="G100" s="143">
        <f t="shared" si="2"/>
        <v>499000</v>
      </c>
      <c r="H100" s="144" t="s">
        <v>12</v>
      </c>
      <c r="I100" s="145">
        <v>987263973689</v>
      </c>
      <c r="J100" s="145">
        <v>926086422913373</v>
      </c>
      <c r="K100" s="162" t="s">
        <v>19</v>
      </c>
      <c r="L100" s="145" t="s">
        <v>27</v>
      </c>
      <c r="M100" s="147" t="s">
        <v>21</v>
      </c>
    </row>
    <row r="101" spans="1:13" x14ac:dyDescent="0.35">
      <c r="A101" s="140">
        <v>97</v>
      </c>
      <c r="B101" s="141">
        <v>46104</v>
      </c>
      <c r="C101" s="141">
        <v>46104</v>
      </c>
      <c r="D101" s="142">
        <v>0.33333333333333331</v>
      </c>
      <c r="E101" s="142">
        <v>0.83333333333333337</v>
      </c>
      <c r="F101" s="143">
        <v>1165000</v>
      </c>
      <c r="G101" s="143">
        <f t="shared" si="2"/>
        <v>1165000</v>
      </c>
      <c r="H101" s="144" t="s">
        <v>12</v>
      </c>
      <c r="I101" s="145">
        <v>987263973689</v>
      </c>
      <c r="J101" s="145">
        <v>926086422913373</v>
      </c>
      <c r="K101" s="162" t="s">
        <v>15</v>
      </c>
      <c r="L101" s="145" t="s">
        <v>27</v>
      </c>
      <c r="M101" s="147" t="s">
        <v>13</v>
      </c>
    </row>
    <row r="102" spans="1:13" x14ac:dyDescent="0.35">
      <c r="A102" s="159">
        <v>98</v>
      </c>
      <c r="B102" s="153">
        <v>46104</v>
      </c>
      <c r="C102" s="153">
        <v>46104</v>
      </c>
      <c r="D102" s="154">
        <v>0.20833333333333334</v>
      </c>
      <c r="E102" s="154">
        <v>0.91666666666666663</v>
      </c>
      <c r="F102" s="155">
        <v>103000</v>
      </c>
      <c r="G102" s="155">
        <f t="shared" si="2"/>
        <v>103000</v>
      </c>
      <c r="H102" s="156" t="s">
        <v>12</v>
      </c>
      <c r="I102" s="157">
        <v>987264248130</v>
      </c>
      <c r="J102" s="157">
        <v>926115431851887</v>
      </c>
      <c r="K102" s="160" t="s">
        <v>157</v>
      </c>
      <c r="L102" s="159" t="s">
        <v>27</v>
      </c>
      <c r="M102" s="158" t="s">
        <v>158</v>
      </c>
    </row>
    <row r="103" spans="1:13" x14ac:dyDescent="0.35">
      <c r="A103" s="140">
        <v>99</v>
      </c>
      <c r="B103" s="141">
        <v>46104</v>
      </c>
      <c r="C103" s="141">
        <v>46105</v>
      </c>
      <c r="D103" s="142">
        <v>0.83333333333333337</v>
      </c>
      <c r="E103" s="142">
        <v>0.33333333333333331</v>
      </c>
      <c r="F103" s="143">
        <v>173000</v>
      </c>
      <c r="G103" s="143">
        <f t="shared" si="2"/>
        <v>173000</v>
      </c>
      <c r="H103" s="144" t="s">
        <v>12</v>
      </c>
      <c r="I103" s="145">
        <v>987263973689</v>
      </c>
      <c r="J103" s="145">
        <v>926086422913373</v>
      </c>
      <c r="K103" s="162" t="s">
        <v>19</v>
      </c>
      <c r="L103" s="145" t="s">
        <v>27</v>
      </c>
      <c r="M103" s="147" t="s">
        <v>21</v>
      </c>
    </row>
    <row r="104" spans="1:13" x14ac:dyDescent="0.35">
      <c r="A104" s="140">
        <v>100</v>
      </c>
      <c r="B104" s="141">
        <v>46104</v>
      </c>
      <c r="C104" s="141">
        <v>46105</v>
      </c>
      <c r="D104" s="142">
        <v>0.83333333333333337</v>
      </c>
      <c r="E104" s="142">
        <v>0.33333333333333331</v>
      </c>
      <c r="F104" s="143">
        <v>490000</v>
      </c>
      <c r="G104" s="143">
        <f t="shared" si="2"/>
        <v>490000</v>
      </c>
      <c r="H104" s="144" t="s">
        <v>12</v>
      </c>
      <c r="I104" s="145">
        <v>987263973689</v>
      </c>
      <c r="J104" s="145">
        <v>926086422913373</v>
      </c>
      <c r="K104" s="162" t="s">
        <v>20</v>
      </c>
      <c r="L104" s="145" t="s">
        <v>27</v>
      </c>
      <c r="M104" s="147" t="s">
        <v>13</v>
      </c>
    </row>
    <row r="105" spans="1:13" x14ac:dyDescent="0.35">
      <c r="A105" s="140">
        <v>101</v>
      </c>
      <c r="B105" s="141">
        <v>46105</v>
      </c>
      <c r="C105" s="141">
        <v>46105</v>
      </c>
      <c r="D105" s="142">
        <v>0.33333333333333331</v>
      </c>
      <c r="E105" s="142">
        <v>0.83333333333333337</v>
      </c>
      <c r="F105" s="143">
        <v>474000</v>
      </c>
      <c r="G105" s="143">
        <f t="shared" si="2"/>
        <v>474000</v>
      </c>
      <c r="H105" s="144" t="s">
        <v>12</v>
      </c>
      <c r="I105" s="145">
        <v>987263977305</v>
      </c>
      <c r="J105" s="145">
        <v>926086422914372</v>
      </c>
      <c r="K105" s="162" t="s">
        <v>154</v>
      </c>
      <c r="L105" s="145" t="s">
        <v>27</v>
      </c>
      <c r="M105" s="147" t="s">
        <v>21</v>
      </c>
    </row>
    <row r="106" spans="1:13" x14ac:dyDescent="0.35">
      <c r="A106" s="140">
        <v>102</v>
      </c>
      <c r="B106" s="141">
        <v>46105</v>
      </c>
      <c r="C106" s="141">
        <v>46105</v>
      </c>
      <c r="D106" s="142">
        <v>0.33333333333333331</v>
      </c>
      <c r="E106" s="142">
        <v>0.83333333333333337</v>
      </c>
      <c r="F106" s="143">
        <v>1099000</v>
      </c>
      <c r="G106" s="143">
        <f t="shared" si="2"/>
        <v>1099000</v>
      </c>
      <c r="H106" s="144" t="s">
        <v>12</v>
      </c>
      <c r="I106" s="145">
        <v>987263977305</v>
      </c>
      <c r="J106" s="145">
        <v>926086422914372</v>
      </c>
      <c r="K106" s="162" t="s">
        <v>24</v>
      </c>
      <c r="L106" s="145" t="s">
        <v>27</v>
      </c>
      <c r="M106" s="147" t="s">
        <v>13</v>
      </c>
    </row>
    <row r="107" spans="1:13" x14ac:dyDescent="0.35">
      <c r="A107" s="159">
        <v>103</v>
      </c>
      <c r="B107" s="153">
        <v>46105</v>
      </c>
      <c r="C107" s="153">
        <v>46105</v>
      </c>
      <c r="D107" s="154">
        <v>0.20833333333333334</v>
      </c>
      <c r="E107" s="154">
        <v>0.91666666666666663</v>
      </c>
      <c r="F107" s="155">
        <v>125000</v>
      </c>
      <c r="G107" s="155">
        <f t="shared" si="2"/>
        <v>125000</v>
      </c>
      <c r="H107" s="156" t="s">
        <v>12</v>
      </c>
      <c r="I107" s="157">
        <v>987264248257</v>
      </c>
      <c r="J107" s="157">
        <v>926115431855057</v>
      </c>
      <c r="K107" s="160" t="s">
        <v>157</v>
      </c>
      <c r="L107" s="159" t="s">
        <v>27</v>
      </c>
      <c r="M107" s="158" t="s">
        <v>158</v>
      </c>
    </row>
    <row r="108" spans="1:13" x14ac:dyDescent="0.35">
      <c r="A108" s="140">
        <v>104</v>
      </c>
      <c r="B108" s="141">
        <v>46105</v>
      </c>
      <c r="C108" s="141">
        <v>46106</v>
      </c>
      <c r="D108" s="142">
        <v>0.83333333333333337</v>
      </c>
      <c r="E108" s="142">
        <v>0.33333333333333331</v>
      </c>
      <c r="F108" s="143">
        <v>166000</v>
      </c>
      <c r="G108" s="143">
        <f t="shared" si="2"/>
        <v>166000</v>
      </c>
      <c r="H108" s="144" t="s">
        <v>12</v>
      </c>
      <c r="I108" s="145">
        <v>987263977305</v>
      </c>
      <c r="J108" s="145">
        <v>926086422914372</v>
      </c>
      <c r="K108" s="162" t="s">
        <v>19</v>
      </c>
      <c r="L108" s="145" t="s">
        <v>27</v>
      </c>
      <c r="M108" s="147" t="s">
        <v>21</v>
      </c>
    </row>
    <row r="109" spans="1:13" x14ac:dyDescent="0.35">
      <c r="A109" s="140">
        <v>105</v>
      </c>
      <c r="B109" s="141">
        <v>46105</v>
      </c>
      <c r="C109" s="141">
        <v>46106</v>
      </c>
      <c r="D109" s="142">
        <v>0.83333333333333337</v>
      </c>
      <c r="E109" s="142">
        <v>0.33333333333333331</v>
      </c>
      <c r="F109" s="143">
        <v>630000</v>
      </c>
      <c r="G109" s="143">
        <f t="shared" si="2"/>
        <v>630000</v>
      </c>
      <c r="H109" s="144" t="s">
        <v>12</v>
      </c>
      <c r="I109" s="145">
        <v>987263977305</v>
      </c>
      <c r="J109" s="145">
        <v>926086422914372</v>
      </c>
      <c r="K109" s="162" t="s">
        <v>15</v>
      </c>
      <c r="L109" s="145" t="s">
        <v>27</v>
      </c>
      <c r="M109" s="147" t="s">
        <v>13</v>
      </c>
    </row>
    <row r="110" spans="1:13" x14ac:dyDescent="0.35">
      <c r="A110" s="140">
        <v>106</v>
      </c>
      <c r="B110" s="141">
        <v>46106</v>
      </c>
      <c r="C110" s="141">
        <v>46106</v>
      </c>
      <c r="D110" s="142">
        <v>0.33333333333333331</v>
      </c>
      <c r="E110" s="142">
        <v>0.83333333333333337</v>
      </c>
      <c r="F110" s="143">
        <v>276000</v>
      </c>
      <c r="G110" s="143">
        <f t="shared" si="2"/>
        <v>276000</v>
      </c>
      <c r="H110" s="144" t="s">
        <v>12</v>
      </c>
      <c r="I110" s="145">
        <v>987263987748</v>
      </c>
      <c r="J110" s="140" t="s">
        <v>153</v>
      </c>
      <c r="K110" s="162" t="s">
        <v>154</v>
      </c>
      <c r="L110" s="145" t="s">
        <v>27</v>
      </c>
      <c r="M110" s="147" t="s">
        <v>21</v>
      </c>
    </row>
    <row r="111" spans="1:13" x14ac:dyDescent="0.35">
      <c r="A111" s="140">
        <v>107</v>
      </c>
      <c r="B111" s="141">
        <v>46106</v>
      </c>
      <c r="C111" s="141">
        <v>46106</v>
      </c>
      <c r="D111" s="142">
        <v>0.33333333333333331</v>
      </c>
      <c r="E111" s="142">
        <v>0.83333333333333337</v>
      </c>
      <c r="F111" s="143">
        <v>1173000</v>
      </c>
      <c r="G111" s="143">
        <f t="shared" si="2"/>
        <v>1173000</v>
      </c>
      <c r="H111" s="144" t="s">
        <v>12</v>
      </c>
      <c r="I111" s="145">
        <v>987263987748</v>
      </c>
      <c r="J111" s="140" t="s">
        <v>153</v>
      </c>
      <c r="K111" s="162" t="s">
        <v>24</v>
      </c>
      <c r="L111" s="145" t="s">
        <v>27</v>
      </c>
      <c r="M111" s="147" t="s">
        <v>13</v>
      </c>
    </row>
    <row r="112" spans="1:13" x14ac:dyDescent="0.35">
      <c r="A112" s="159">
        <v>108</v>
      </c>
      <c r="B112" s="153">
        <v>46106</v>
      </c>
      <c r="C112" s="153">
        <v>46106</v>
      </c>
      <c r="D112" s="154">
        <v>0.20833333333333334</v>
      </c>
      <c r="E112" s="154">
        <v>0.91666666666666663</v>
      </c>
      <c r="F112" s="155">
        <v>110000</v>
      </c>
      <c r="G112" s="155">
        <f t="shared" si="2"/>
        <v>110000</v>
      </c>
      <c r="H112" s="156" t="s">
        <v>12</v>
      </c>
      <c r="I112" s="157">
        <v>987264248158</v>
      </c>
      <c r="J112" s="157">
        <v>926115431852256</v>
      </c>
      <c r="K112" s="160" t="s">
        <v>157</v>
      </c>
      <c r="L112" s="159" t="s">
        <v>27</v>
      </c>
      <c r="M112" s="158" t="s">
        <v>158</v>
      </c>
    </row>
    <row r="113" spans="1:13" x14ac:dyDescent="0.35">
      <c r="A113" s="140">
        <v>109</v>
      </c>
      <c r="B113" s="141">
        <v>46106</v>
      </c>
      <c r="C113" s="141">
        <v>46107</v>
      </c>
      <c r="D113" s="142">
        <v>0.83333333333333337</v>
      </c>
      <c r="E113" s="142">
        <v>0.33333333333333331</v>
      </c>
      <c r="F113" s="143">
        <v>209000</v>
      </c>
      <c r="G113" s="143">
        <f t="shared" si="2"/>
        <v>209000</v>
      </c>
      <c r="H113" s="144" t="s">
        <v>12</v>
      </c>
      <c r="I113" s="145">
        <v>987263987748</v>
      </c>
      <c r="J113" s="140" t="s">
        <v>153</v>
      </c>
      <c r="K113" s="162" t="s">
        <v>19</v>
      </c>
      <c r="L113" s="140" t="s">
        <v>27</v>
      </c>
      <c r="M113" s="147" t="s">
        <v>21</v>
      </c>
    </row>
    <row r="114" spans="1:13" x14ac:dyDescent="0.35">
      <c r="A114" s="140">
        <v>110</v>
      </c>
      <c r="B114" s="141">
        <v>46106</v>
      </c>
      <c r="C114" s="141">
        <v>46107</v>
      </c>
      <c r="D114" s="142">
        <v>0.83333333333333337</v>
      </c>
      <c r="E114" s="142">
        <v>0.33333333333333331</v>
      </c>
      <c r="F114" s="143">
        <v>623000</v>
      </c>
      <c r="G114" s="143">
        <f t="shared" si="2"/>
        <v>623000</v>
      </c>
      <c r="H114" s="144" t="s">
        <v>12</v>
      </c>
      <c r="I114" s="145">
        <v>987263987748</v>
      </c>
      <c r="J114" s="140" t="s">
        <v>153</v>
      </c>
      <c r="K114" s="162" t="s">
        <v>15</v>
      </c>
      <c r="L114" s="140" t="s">
        <v>27</v>
      </c>
      <c r="M114" s="147" t="s">
        <v>13</v>
      </c>
    </row>
    <row r="115" spans="1:13" x14ac:dyDescent="0.35">
      <c r="A115" s="140">
        <v>111</v>
      </c>
      <c r="B115" s="141">
        <v>46107</v>
      </c>
      <c r="C115" s="141">
        <v>46107</v>
      </c>
      <c r="D115" s="142">
        <v>0.33333333333333331</v>
      </c>
      <c r="E115" s="142">
        <v>0.83333333333333337</v>
      </c>
      <c r="F115" s="143">
        <v>339000</v>
      </c>
      <c r="G115" s="143">
        <f t="shared" si="2"/>
        <v>339000</v>
      </c>
      <c r="H115" s="144" t="s">
        <v>12</v>
      </c>
      <c r="I115" s="145">
        <v>987263997553</v>
      </c>
      <c r="J115" s="140" t="s">
        <v>153</v>
      </c>
      <c r="K115" s="162" t="s">
        <v>19</v>
      </c>
      <c r="L115" s="140" t="s">
        <v>27</v>
      </c>
      <c r="M115" s="147" t="s">
        <v>21</v>
      </c>
    </row>
    <row r="116" spans="1:13" x14ac:dyDescent="0.35">
      <c r="A116" s="140">
        <v>112</v>
      </c>
      <c r="B116" s="141">
        <v>46107</v>
      </c>
      <c r="C116" s="141">
        <v>46107</v>
      </c>
      <c r="D116" s="142">
        <v>0.33333333333333331</v>
      </c>
      <c r="E116" s="142">
        <v>0.83333333333333337</v>
      </c>
      <c r="F116" s="143">
        <v>1279000</v>
      </c>
      <c r="G116" s="143">
        <f t="shared" si="2"/>
        <v>1279000</v>
      </c>
      <c r="H116" s="144" t="s">
        <v>12</v>
      </c>
      <c r="I116" s="145">
        <v>987263997553</v>
      </c>
      <c r="J116" s="140" t="s">
        <v>153</v>
      </c>
      <c r="K116" s="162" t="s">
        <v>20</v>
      </c>
      <c r="L116" s="140" t="s">
        <v>27</v>
      </c>
      <c r="M116" s="147" t="s">
        <v>13</v>
      </c>
    </row>
    <row r="117" spans="1:13" x14ac:dyDescent="0.35">
      <c r="A117" s="159">
        <v>113</v>
      </c>
      <c r="B117" s="153">
        <v>46107</v>
      </c>
      <c r="C117" s="153">
        <v>46107</v>
      </c>
      <c r="D117" s="154">
        <v>0.20833333333333334</v>
      </c>
      <c r="E117" s="154">
        <v>0.91666666666666663</v>
      </c>
      <c r="F117" s="155">
        <v>105000</v>
      </c>
      <c r="G117" s="155">
        <f t="shared" si="2"/>
        <v>105000</v>
      </c>
      <c r="H117" s="156" t="s">
        <v>12</v>
      </c>
      <c r="I117" s="157">
        <v>987264248179</v>
      </c>
      <c r="J117" s="157">
        <v>926115431853209</v>
      </c>
      <c r="K117" s="160" t="s">
        <v>157</v>
      </c>
      <c r="L117" s="159" t="s">
        <v>27</v>
      </c>
      <c r="M117" s="158" t="s">
        <v>158</v>
      </c>
    </row>
    <row r="118" spans="1:13" x14ac:dyDescent="0.35">
      <c r="A118" s="140">
        <v>114</v>
      </c>
      <c r="B118" s="141">
        <v>46107</v>
      </c>
      <c r="C118" s="141">
        <v>46108</v>
      </c>
      <c r="D118" s="142">
        <v>0.83333333333333337</v>
      </c>
      <c r="E118" s="142">
        <v>0.33333333333333331</v>
      </c>
      <c r="F118" s="143">
        <v>462000</v>
      </c>
      <c r="G118" s="143">
        <f t="shared" si="2"/>
        <v>462000</v>
      </c>
      <c r="H118" s="144" t="s">
        <v>12</v>
      </c>
      <c r="I118" s="145">
        <v>987263997553</v>
      </c>
      <c r="J118" s="140" t="s">
        <v>153</v>
      </c>
      <c r="K118" s="162" t="s">
        <v>154</v>
      </c>
      <c r="L118" s="140" t="s">
        <v>27</v>
      </c>
      <c r="M118" s="147" t="s">
        <v>21</v>
      </c>
    </row>
    <row r="119" spans="1:13" x14ac:dyDescent="0.35">
      <c r="A119" s="140">
        <v>115</v>
      </c>
      <c r="B119" s="141">
        <v>46107</v>
      </c>
      <c r="C119" s="141">
        <v>46108</v>
      </c>
      <c r="D119" s="142">
        <v>0.83333333333333337</v>
      </c>
      <c r="E119" s="142">
        <v>0.33333333333333331</v>
      </c>
      <c r="F119" s="143">
        <v>597000</v>
      </c>
      <c r="G119" s="143">
        <f t="shared" si="2"/>
        <v>597000</v>
      </c>
      <c r="H119" s="144" t="s">
        <v>12</v>
      </c>
      <c r="I119" s="145">
        <v>987263997553</v>
      </c>
      <c r="J119" s="140" t="s">
        <v>153</v>
      </c>
      <c r="K119" s="162" t="s">
        <v>24</v>
      </c>
      <c r="L119" s="140" t="s">
        <v>27</v>
      </c>
      <c r="M119" s="147" t="s">
        <v>13</v>
      </c>
    </row>
    <row r="120" spans="1:13" x14ac:dyDescent="0.35">
      <c r="A120" s="140">
        <v>116</v>
      </c>
      <c r="B120" s="141">
        <v>46108</v>
      </c>
      <c r="C120" s="141">
        <v>46108</v>
      </c>
      <c r="D120" s="142">
        <v>0.33333333333333331</v>
      </c>
      <c r="E120" s="142">
        <v>0.83333333333333337</v>
      </c>
      <c r="F120" s="143">
        <v>264000</v>
      </c>
      <c r="G120" s="143">
        <f t="shared" si="2"/>
        <v>264000</v>
      </c>
      <c r="H120" s="144" t="s">
        <v>12</v>
      </c>
      <c r="I120" s="145">
        <v>987264028441</v>
      </c>
      <c r="J120" s="145">
        <v>926091424795613</v>
      </c>
      <c r="K120" s="162" t="s">
        <v>19</v>
      </c>
      <c r="L120" s="140" t="s">
        <v>27</v>
      </c>
      <c r="M120" s="147" t="s">
        <v>21</v>
      </c>
    </row>
    <row r="121" spans="1:13" x14ac:dyDescent="0.35">
      <c r="A121" s="140">
        <v>117</v>
      </c>
      <c r="B121" s="141">
        <v>46108</v>
      </c>
      <c r="C121" s="141">
        <v>46108</v>
      </c>
      <c r="D121" s="142">
        <v>0.33333333333333331</v>
      </c>
      <c r="E121" s="142">
        <v>0.83333333333333337</v>
      </c>
      <c r="F121" s="143">
        <v>1366000</v>
      </c>
      <c r="G121" s="143">
        <f t="shared" si="2"/>
        <v>1366000</v>
      </c>
      <c r="H121" s="144" t="s">
        <v>12</v>
      </c>
      <c r="I121" s="145">
        <v>987264028441</v>
      </c>
      <c r="J121" s="145">
        <v>926091424795613</v>
      </c>
      <c r="K121" s="162" t="s">
        <v>20</v>
      </c>
      <c r="L121" s="140" t="s">
        <v>27</v>
      </c>
      <c r="M121" s="147" t="s">
        <v>21</v>
      </c>
    </row>
    <row r="122" spans="1:13" x14ac:dyDescent="0.35">
      <c r="A122" s="159">
        <v>118</v>
      </c>
      <c r="B122" s="153">
        <v>46108</v>
      </c>
      <c r="C122" s="153">
        <v>46108</v>
      </c>
      <c r="D122" s="154">
        <v>0.20833333333333334</v>
      </c>
      <c r="E122" s="154">
        <v>0.91666666666666663</v>
      </c>
      <c r="F122" s="155">
        <v>85000</v>
      </c>
      <c r="G122" s="155">
        <f t="shared" si="2"/>
        <v>85000</v>
      </c>
      <c r="H122" s="156" t="s">
        <v>12</v>
      </c>
      <c r="I122" s="157">
        <v>987264248185</v>
      </c>
      <c r="J122" s="157">
        <v>926115431873692</v>
      </c>
      <c r="K122" s="160" t="s">
        <v>157</v>
      </c>
      <c r="L122" s="159" t="s">
        <v>27</v>
      </c>
      <c r="M122" s="158" t="s">
        <v>158</v>
      </c>
    </row>
    <row r="123" spans="1:13" x14ac:dyDescent="0.35">
      <c r="A123" s="140">
        <v>119</v>
      </c>
      <c r="B123" s="141">
        <v>46108</v>
      </c>
      <c r="C123" s="141">
        <v>46109</v>
      </c>
      <c r="D123" s="142">
        <v>0.83333333333333337</v>
      </c>
      <c r="E123" s="142">
        <v>0.33333333333333331</v>
      </c>
      <c r="F123" s="143">
        <v>340000</v>
      </c>
      <c r="G123" s="143">
        <f t="shared" si="2"/>
        <v>340000</v>
      </c>
      <c r="H123" s="144" t="s">
        <v>12</v>
      </c>
      <c r="I123" s="145">
        <v>987264028441</v>
      </c>
      <c r="J123" s="145">
        <v>926091424795613</v>
      </c>
      <c r="K123" s="162" t="s">
        <v>154</v>
      </c>
      <c r="L123" s="140" t="s">
        <v>27</v>
      </c>
      <c r="M123" s="147" t="s">
        <v>21</v>
      </c>
    </row>
    <row r="124" spans="1:13" x14ac:dyDescent="0.35">
      <c r="A124" s="140">
        <v>120</v>
      </c>
      <c r="B124" s="141">
        <v>46108</v>
      </c>
      <c r="C124" s="141">
        <v>46109</v>
      </c>
      <c r="D124" s="142">
        <v>0.83333333333333337</v>
      </c>
      <c r="E124" s="142">
        <v>0.33333333333333331</v>
      </c>
      <c r="F124" s="143">
        <v>568000</v>
      </c>
      <c r="G124" s="143">
        <f t="shared" si="2"/>
        <v>568000</v>
      </c>
      <c r="H124" s="144" t="s">
        <v>12</v>
      </c>
      <c r="I124" s="145">
        <v>987264028441</v>
      </c>
      <c r="J124" s="145">
        <v>926091424795613</v>
      </c>
      <c r="K124" s="162" t="s">
        <v>24</v>
      </c>
      <c r="L124" s="140" t="s">
        <v>27</v>
      </c>
      <c r="M124" s="147" t="s">
        <v>13</v>
      </c>
    </row>
    <row r="125" spans="1:13" x14ac:dyDescent="0.35">
      <c r="A125" s="140">
        <v>121</v>
      </c>
      <c r="B125" s="141">
        <v>46109</v>
      </c>
      <c r="C125" s="141">
        <v>46109</v>
      </c>
      <c r="D125" s="142">
        <v>0.33333333333333331</v>
      </c>
      <c r="E125" s="142">
        <v>0.83333333333333337</v>
      </c>
      <c r="F125" s="143">
        <v>380000</v>
      </c>
      <c r="G125" s="143">
        <f t="shared" si="2"/>
        <v>380000</v>
      </c>
      <c r="H125" s="144" t="s">
        <v>12</v>
      </c>
      <c r="I125" s="145">
        <v>987264028446</v>
      </c>
      <c r="J125" s="145">
        <v>926091424795196</v>
      </c>
      <c r="K125" s="162" t="s">
        <v>19</v>
      </c>
      <c r="L125" s="140" t="s">
        <v>27</v>
      </c>
      <c r="M125" s="147" t="s">
        <v>21</v>
      </c>
    </row>
    <row r="126" spans="1:13" x14ac:dyDescent="0.35">
      <c r="A126" s="140">
        <v>122</v>
      </c>
      <c r="B126" s="141">
        <v>46109</v>
      </c>
      <c r="C126" s="141">
        <v>46109</v>
      </c>
      <c r="D126" s="142">
        <v>0.33333333333333331</v>
      </c>
      <c r="E126" s="142">
        <v>0.83333333333333337</v>
      </c>
      <c r="F126" s="143">
        <v>1452000</v>
      </c>
      <c r="G126" s="143">
        <f t="shared" si="2"/>
        <v>1452000</v>
      </c>
      <c r="H126" s="144" t="s">
        <v>12</v>
      </c>
      <c r="I126" s="145">
        <v>987264028446</v>
      </c>
      <c r="J126" s="145">
        <v>926091424795196</v>
      </c>
      <c r="K126" s="162" t="s">
        <v>15</v>
      </c>
      <c r="L126" s="140" t="s">
        <v>27</v>
      </c>
      <c r="M126" s="147" t="s">
        <v>13</v>
      </c>
    </row>
    <row r="127" spans="1:13" x14ac:dyDescent="0.35">
      <c r="A127" s="159">
        <v>123</v>
      </c>
      <c r="B127" s="153">
        <v>46109</v>
      </c>
      <c r="C127" s="154">
        <v>0.91666666666666663</v>
      </c>
      <c r="D127" s="154">
        <v>0.20833333333333334</v>
      </c>
      <c r="E127" s="154">
        <v>0.91666666666666663</v>
      </c>
      <c r="F127" s="155">
        <v>120000</v>
      </c>
      <c r="G127" s="155">
        <f t="shared" si="2"/>
        <v>120000</v>
      </c>
      <c r="H127" s="156" t="s">
        <v>12</v>
      </c>
      <c r="I127" s="157">
        <v>987264248190</v>
      </c>
      <c r="J127" s="157">
        <v>926115431874163</v>
      </c>
      <c r="K127" s="160" t="s">
        <v>160</v>
      </c>
      <c r="L127" s="159" t="s">
        <v>27</v>
      </c>
      <c r="M127" s="158" t="s">
        <v>158</v>
      </c>
    </row>
    <row r="128" spans="1:13" x14ac:dyDescent="0.35">
      <c r="A128" s="140">
        <v>124</v>
      </c>
      <c r="B128" s="141">
        <v>46109</v>
      </c>
      <c r="C128" s="141">
        <v>46110</v>
      </c>
      <c r="D128" s="142">
        <v>0.83333333333333337</v>
      </c>
      <c r="E128" s="142">
        <v>0.33333333333333331</v>
      </c>
      <c r="F128" s="143">
        <v>211000</v>
      </c>
      <c r="G128" s="143">
        <f t="shared" si="2"/>
        <v>211000</v>
      </c>
      <c r="H128" s="144" t="s">
        <v>12</v>
      </c>
      <c r="I128" s="145">
        <v>987264028446</v>
      </c>
      <c r="J128" s="145">
        <v>926091424795196</v>
      </c>
      <c r="K128" s="162" t="s">
        <v>19</v>
      </c>
      <c r="L128" s="140" t="s">
        <v>27</v>
      </c>
      <c r="M128" s="147" t="s">
        <v>21</v>
      </c>
    </row>
    <row r="129" spans="1:13" x14ac:dyDescent="0.35">
      <c r="A129" s="140">
        <v>125</v>
      </c>
      <c r="B129" s="141">
        <v>46109</v>
      </c>
      <c r="C129" s="141">
        <v>46110</v>
      </c>
      <c r="D129" s="142">
        <v>0.83333333333333337</v>
      </c>
      <c r="E129" s="142">
        <v>0.33333333333333331</v>
      </c>
      <c r="F129" s="143">
        <v>556000</v>
      </c>
      <c r="G129" s="143">
        <f t="shared" si="2"/>
        <v>556000</v>
      </c>
      <c r="H129" s="144" t="s">
        <v>12</v>
      </c>
      <c r="I129" s="145">
        <v>987264028446</v>
      </c>
      <c r="J129" s="145">
        <v>926091424795196</v>
      </c>
      <c r="K129" s="162" t="s">
        <v>20</v>
      </c>
      <c r="L129" s="140" t="s">
        <v>27</v>
      </c>
      <c r="M129" s="147" t="s">
        <v>13</v>
      </c>
    </row>
    <row r="130" spans="1:13" x14ac:dyDescent="0.35">
      <c r="A130" s="140">
        <v>126</v>
      </c>
      <c r="B130" s="141">
        <v>46110</v>
      </c>
      <c r="C130" s="141">
        <v>46110</v>
      </c>
      <c r="D130" s="142">
        <v>0.33333333333333331</v>
      </c>
      <c r="E130" s="142">
        <v>0.83333333333333337</v>
      </c>
      <c r="F130" s="143">
        <v>361000</v>
      </c>
      <c r="G130" s="143">
        <f t="shared" si="2"/>
        <v>361000</v>
      </c>
      <c r="H130" s="144" t="s">
        <v>12</v>
      </c>
      <c r="I130" s="145">
        <v>987264028462</v>
      </c>
      <c r="J130" s="145">
        <v>926091424794934</v>
      </c>
      <c r="K130" s="162" t="s">
        <v>19</v>
      </c>
      <c r="L130" s="140" t="s">
        <v>27</v>
      </c>
      <c r="M130" s="147" t="s">
        <v>21</v>
      </c>
    </row>
    <row r="131" spans="1:13" x14ac:dyDescent="0.35">
      <c r="A131" s="140">
        <v>127</v>
      </c>
      <c r="B131" s="141">
        <v>46110</v>
      </c>
      <c r="C131" s="141">
        <v>46110</v>
      </c>
      <c r="D131" s="142">
        <v>0.33333333333333331</v>
      </c>
      <c r="E131" s="142">
        <v>0.83333333333333337</v>
      </c>
      <c r="F131" s="143">
        <v>1815000</v>
      </c>
      <c r="G131" s="143">
        <f t="shared" si="2"/>
        <v>1815000</v>
      </c>
      <c r="H131" s="144" t="s">
        <v>12</v>
      </c>
      <c r="I131" s="145">
        <v>987264028462</v>
      </c>
      <c r="J131" s="145">
        <v>926091424794934</v>
      </c>
      <c r="K131" s="162" t="s">
        <v>15</v>
      </c>
      <c r="L131" s="140" t="s">
        <v>27</v>
      </c>
      <c r="M131" s="147" t="s">
        <v>13</v>
      </c>
    </row>
    <row r="132" spans="1:13" x14ac:dyDescent="0.35">
      <c r="A132" s="159">
        <v>128</v>
      </c>
      <c r="B132" s="153">
        <v>46110</v>
      </c>
      <c r="C132" s="154">
        <v>0.91666666666666663</v>
      </c>
      <c r="D132" s="154">
        <v>0.20833333333333334</v>
      </c>
      <c r="E132" s="154">
        <v>0.91666666666666663</v>
      </c>
      <c r="F132" s="155">
        <v>71000</v>
      </c>
      <c r="G132" s="155">
        <f t="shared" si="2"/>
        <v>71000</v>
      </c>
      <c r="H132" s="156" t="s">
        <v>12</v>
      </c>
      <c r="I132" s="157">
        <v>987264248219</v>
      </c>
      <c r="J132" s="157">
        <v>926115431873972</v>
      </c>
      <c r="K132" s="160" t="s">
        <v>157</v>
      </c>
      <c r="L132" s="159" t="s">
        <v>27</v>
      </c>
      <c r="M132" s="158" t="s">
        <v>158</v>
      </c>
    </row>
    <row r="133" spans="1:13" x14ac:dyDescent="0.35">
      <c r="A133" s="140">
        <v>129</v>
      </c>
      <c r="B133" s="141">
        <v>46110</v>
      </c>
      <c r="C133" s="141">
        <v>46111</v>
      </c>
      <c r="D133" s="142">
        <v>0.83333333333333337</v>
      </c>
      <c r="E133" s="142">
        <v>0.33333333333333331</v>
      </c>
      <c r="F133" s="143">
        <v>223000</v>
      </c>
      <c r="G133" s="143">
        <f t="shared" si="2"/>
        <v>223000</v>
      </c>
      <c r="H133" s="144" t="s">
        <v>12</v>
      </c>
      <c r="I133" s="145">
        <v>987264028462</v>
      </c>
      <c r="J133" s="145">
        <v>926091424794934</v>
      </c>
      <c r="K133" s="162" t="s">
        <v>19</v>
      </c>
      <c r="L133" s="140" t="s">
        <v>27</v>
      </c>
      <c r="M133" s="147" t="s">
        <v>21</v>
      </c>
    </row>
    <row r="134" spans="1:13" x14ac:dyDescent="0.35">
      <c r="A134" s="140">
        <v>130</v>
      </c>
      <c r="B134" s="141">
        <v>46110</v>
      </c>
      <c r="C134" s="141">
        <v>46111</v>
      </c>
      <c r="D134" s="142">
        <v>0.83333333333333337</v>
      </c>
      <c r="E134" s="142">
        <v>0.33333333333333331</v>
      </c>
      <c r="F134" s="143">
        <v>613000</v>
      </c>
      <c r="G134" s="143">
        <f t="shared" si="2"/>
        <v>613000</v>
      </c>
      <c r="H134" s="144" t="s">
        <v>12</v>
      </c>
      <c r="I134" s="145">
        <v>987264028462</v>
      </c>
      <c r="J134" s="145">
        <v>926091424794934</v>
      </c>
      <c r="K134" s="162" t="s">
        <v>20</v>
      </c>
      <c r="L134" s="140" t="s">
        <v>27</v>
      </c>
      <c r="M134" s="147" t="s">
        <v>13</v>
      </c>
    </row>
    <row r="135" spans="1:13" x14ac:dyDescent="0.35">
      <c r="A135" s="140">
        <v>131</v>
      </c>
      <c r="B135" s="141">
        <v>46111</v>
      </c>
      <c r="C135" s="141">
        <v>46111</v>
      </c>
      <c r="D135" s="142">
        <v>0.33333333333333331</v>
      </c>
      <c r="E135" s="142">
        <v>0.83333333333333337</v>
      </c>
      <c r="F135" s="143">
        <v>429000</v>
      </c>
      <c r="G135" s="143">
        <f t="shared" si="2"/>
        <v>429000</v>
      </c>
      <c r="H135" s="144" t="s">
        <v>12</v>
      </c>
      <c r="I135" s="145">
        <v>987264051043</v>
      </c>
      <c r="J135" s="140" t="s">
        <v>161</v>
      </c>
      <c r="K135" s="162" t="s">
        <v>154</v>
      </c>
      <c r="L135" s="140" t="s">
        <v>27</v>
      </c>
      <c r="M135" s="147" t="s">
        <v>21</v>
      </c>
    </row>
    <row r="136" spans="1:13" x14ac:dyDescent="0.35">
      <c r="A136" s="140">
        <v>132</v>
      </c>
      <c r="B136" s="141">
        <v>46111</v>
      </c>
      <c r="C136" s="141">
        <v>46111</v>
      </c>
      <c r="D136" s="142">
        <v>0.33333333333333331</v>
      </c>
      <c r="E136" s="142">
        <v>0.83333333333333337</v>
      </c>
      <c r="F136" s="143">
        <v>1312000</v>
      </c>
      <c r="G136" s="143">
        <f t="shared" si="2"/>
        <v>1312000</v>
      </c>
      <c r="H136" s="144" t="s">
        <v>12</v>
      </c>
      <c r="I136" s="145">
        <v>987264051043</v>
      </c>
      <c r="J136" s="140" t="s">
        <v>161</v>
      </c>
      <c r="K136" s="162" t="s">
        <v>24</v>
      </c>
      <c r="L136" s="140" t="s">
        <v>27</v>
      </c>
      <c r="M136" s="147" t="s">
        <v>13</v>
      </c>
    </row>
    <row r="137" spans="1:13" x14ac:dyDescent="0.35">
      <c r="A137" s="169">
        <v>133</v>
      </c>
      <c r="B137" s="153">
        <v>46111</v>
      </c>
      <c r="C137" s="153">
        <v>46111</v>
      </c>
      <c r="D137" s="154">
        <v>0.20833333333333334</v>
      </c>
      <c r="E137" s="154">
        <v>0.91666666666666663</v>
      </c>
      <c r="F137" s="170">
        <v>95000</v>
      </c>
      <c r="G137" s="155">
        <f t="shared" si="2"/>
        <v>95000</v>
      </c>
      <c r="H137" s="156" t="s">
        <v>12</v>
      </c>
      <c r="I137" s="157">
        <v>987264248237</v>
      </c>
      <c r="J137" s="157">
        <v>926115431874328</v>
      </c>
      <c r="K137" s="160" t="s">
        <v>157</v>
      </c>
      <c r="L137" s="159" t="s">
        <v>27</v>
      </c>
      <c r="M137" s="158" t="s">
        <v>158</v>
      </c>
    </row>
    <row r="138" spans="1:13" x14ac:dyDescent="0.35">
      <c r="A138" s="140">
        <v>134</v>
      </c>
      <c r="B138" s="141">
        <v>46111</v>
      </c>
      <c r="C138" s="141">
        <v>46112</v>
      </c>
      <c r="D138" s="142">
        <v>0.83333333333333337</v>
      </c>
      <c r="E138" s="142">
        <v>0.33333333333333331</v>
      </c>
      <c r="F138" s="143">
        <v>166000</v>
      </c>
      <c r="G138" s="143">
        <f t="shared" si="2"/>
        <v>166000</v>
      </c>
      <c r="H138" s="144" t="s">
        <v>12</v>
      </c>
      <c r="I138" s="145">
        <v>987264051043</v>
      </c>
      <c r="J138" s="140" t="s">
        <v>161</v>
      </c>
      <c r="K138" s="162" t="s">
        <v>19</v>
      </c>
      <c r="L138" s="140" t="s">
        <v>27</v>
      </c>
      <c r="M138" s="147" t="s">
        <v>21</v>
      </c>
    </row>
    <row r="139" spans="1:13" x14ac:dyDescent="0.35">
      <c r="A139" s="140">
        <v>135</v>
      </c>
      <c r="B139" s="141">
        <v>46111</v>
      </c>
      <c r="C139" s="141">
        <v>46112</v>
      </c>
      <c r="D139" s="142">
        <v>0.83333333333333337</v>
      </c>
      <c r="E139" s="142">
        <v>0.33333333333333331</v>
      </c>
      <c r="F139" s="143">
        <v>571000</v>
      </c>
      <c r="G139" s="143">
        <f t="shared" si="2"/>
        <v>571000</v>
      </c>
      <c r="H139" s="144" t="s">
        <v>12</v>
      </c>
      <c r="I139" s="145">
        <v>987264051043</v>
      </c>
      <c r="J139" s="140" t="s">
        <v>161</v>
      </c>
      <c r="K139" s="162" t="s">
        <v>15</v>
      </c>
      <c r="L139" s="140" t="s">
        <v>27</v>
      </c>
      <c r="M139" s="147" t="s">
        <v>13</v>
      </c>
    </row>
    <row r="140" spans="1:13" x14ac:dyDescent="0.35">
      <c r="A140" s="140">
        <v>136</v>
      </c>
      <c r="B140" s="141">
        <v>46112</v>
      </c>
      <c r="C140" s="141">
        <v>46112</v>
      </c>
      <c r="D140" s="142">
        <v>0.33333333333333331</v>
      </c>
      <c r="E140" s="142">
        <v>0.83333333333333337</v>
      </c>
      <c r="F140" s="143">
        <v>338000</v>
      </c>
      <c r="G140" s="143">
        <f t="shared" si="2"/>
        <v>338000</v>
      </c>
      <c r="H140" s="144" t="s">
        <v>12</v>
      </c>
      <c r="I140" s="145">
        <v>9872640510051</v>
      </c>
      <c r="J140" s="140" t="s">
        <v>162</v>
      </c>
      <c r="K140" s="162" t="s">
        <v>154</v>
      </c>
      <c r="L140" s="140" t="s">
        <v>27</v>
      </c>
      <c r="M140" s="147" t="s">
        <v>21</v>
      </c>
    </row>
    <row r="141" spans="1:13" x14ac:dyDescent="0.35">
      <c r="A141" s="140">
        <v>137</v>
      </c>
      <c r="B141" s="141">
        <v>46112</v>
      </c>
      <c r="C141" s="141">
        <v>46112</v>
      </c>
      <c r="D141" s="142">
        <v>0.33333333333333331</v>
      </c>
      <c r="E141" s="142">
        <v>0.83333333333333337</v>
      </c>
      <c r="F141" s="143">
        <v>1289000</v>
      </c>
      <c r="G141" s="143">
        <f t="shared" si="2"/>
        <v>1289000</v>
      </c>
      <c r="H141" s="144" t="s">
        <v>12</v>
      </c>
      <c r="I141" s="145">
        <v>9872640510051</v>
      </c>
      <c r="J141" s="140" t="s">
        <v>162</v>
      </c>
      <c r="K141" s="162" t="s">
        <v>24</v>
      </c>
      <c r="L141" s="140" t="s">
        <v>27</v>
      </c>
      <c r="M141" s="147" t="s">
        <v>13</v>
      </c>
    </row>
    <row r="142" spans="1:13" x14ac:dyDescent="0.35">
      <c r="A142" s="169">
        <v>138</v>
      </c>
      <c r="B142" s="153">
        <v>46112</v>
      </c>
      <c r="C142" s="153">
        <v>46112</v>
      </c>
      <c r="D142" s="154">
        <v>0.20833333333333334</v>
      </c>
      <c r="E142" s="154">
        <v>0.91666666666666663</v>
      </c>
      <c r="F142" s="170">
        <v>89000</v>
      </c>
      <c r="G142" s="170">
        <f t="shared" si="2"/>
        <v>89000</v>
      </c>
      <c r="H142" s="171" t="s">
        <v>12</v>
      </c>
      <c r="I142" s="157">
        <v>987264248243</v>
      </c>
      <c r="J142" s="157">
        <v>926115431874501</v>
      </c>
      <c r="K142" s="160" t="s">
        <v>157</v>
      </c>
      <c r="L142" s="159" t="s">
        <v>27</v>
      </c>
      <c r="M142" s="158" t="s">
        <v>158</v>
      </c>
    </row>
    <row r="143" spans="1:13" x14ac:dyDescent="0.35">
      <c r="A143" s="140">
        <v>139</v>
      </c>
      <c r="B143" s="141">
        <v>46112</v>
      </c>
      <c r="C143" s="141">
        <v>46113</v>
      </c>
      <c r="D143" s="142">
        <v>0.83333333333333337</v>
      </c>
      <c r="E143" s="142">
        <v>0.33333333333333331</v>
      </c>
      <c r="F143" s="143">
        <v>202000</v>
      </c>
      <c r="G143" s="143">
        <f t="shared" si="2"/>
        <v>202000</v>
      </c>
      <c r="H143" s="144" t="s">
        <v>12</v>
      </c>
      <c r="I143" s="145">
        <v>9872640510051</v>
      </c>
      <c r="J143" s="140" t="s">
        <v>162</v>
      </c>
      <c r="K143" s="162" t="s">
        <v>19</v>
      </c>
      <c r="L143" s="140" t="s">
        <v>27</v>
      </c>
      <c r="M143" s="147" t="s">
        <v>21</v>
      </c>
    </row>
    <row r="144" spans="1:13" x14ac:dyDescent="0.35">
      <c r="A144" s="140">
        <v>140</v>
      </c>
      <c r="B144" s="141">
        <v>46112</v>
      </c>
      <c r="C144" s="141">
        <v>46113</v>
      </c>
      <c r="D144" s="142">
        <v>0.83333333333333337</v>
      </c>
      <c r="E144" s="142">
        <v>0.33333333333333331</v>
      </c>
      <c r="F144" s="143">
        <v>665000</v>
      </c>
      <c r="G144" s="143">
        <f t="shared" si="2"/>
        <v>665000</v>
      </c>
      <c r="H144" s="144" t="s">
        <v>12</v>
      </c>
      <c r="I144" s="145">
        <v>9872640510051</v>
      </c>
      <c r="J144" s="140" t="s">
        <v>162</v>
      </c>
      <c r="K144" s="162" t="s">
        <v>15</v>
      </c>
      <c r="L144" s="140" t="s">
        <v>27</v>
      </c>
      <c r="M144" s="147" t="s">
        <v>13</v>
      </c>
    </row>
    <row r="145" spans="1:13" x14ac:dyDescent="0.35">
      <c r="A145" s="169"/>
      <c r="B145" s="153"/>
      <c r="C145" s="153"/>
      <c r="D145" s="154"/>
      <c r="E145" s="154"/>
      <c r="F145" s="170"/>
      <c r="G145" s="170"/>
      <c r="H145" s="171"/>
      <c r="I145" s="159"/>
      <c r="J145" s="159"/>
      <c r="K145" s="160"/>
      <c r="L145" s="159"/>
      <c r="M145" s="158"/>
    </row>
    <row r="146" spans="1:13" x14ac:dyDescent="0.35">
      <c r="A146" s="385" t="s">
        <v>4</v>
      </c>
      <c r="B146" s="386"/>
      <c r="C146" s="386"/>
      <c r="D146" s="386"/>
      <c r="E146" s="387"/>
      <c r="F146" s="165">
        <f>SUM(F5:F144)</f>
        <v>76711000</v>
      </c>
      <c r="G146" s="148">
        <f>SUM(G5:G144)</f>
        <v>76711000</v>
      </c>
      <c r="H146" s="42"/>
      <c r="I146" s="42"/>
      <c r="J146" s="42"/>
      <c r="K146" s="163"/>
      <c r="L146" s="42"/>
      <c r="M146" s="42"/>
    </row>
  </sheetData>
  <mergeCells count="4">
    <mergeCell ref="B2:M2"/>
    <mergeCell ref="B3:M3"/>
    <mergeCell ref="A146:E146"/>
    <mergeCell ref="B1:M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59457-E163-43BC-9507-F02BB2EB3920}">
  <dimension ref="A1:M155"/>
  <sheetViews>
    <sheetView topLeftCell="A145" workbookViewId="0">
      <selection sqref="A1:L3"/>
    </sheetView>
  </sheetViews>
  <sheetFormatPr defaultRowHeight="14.5" x14ac:dyDescent="0.35"/>
  <cols>
    <col min="1" max="1" width="8.7265625" style="1"/>
    <col min="2" max="2" width="12.08984375" customWidth="1"/>
    <col min="3" max="3" width="13.36328125" customWidth="1"/>
    <col min="4" max="4" width="11.1796875" customWidth="1"/>
    <col min="5" max="5" width="12.26953125" customWidth="1"/>
    <col min="6" max="6" width="21.26953125" style="210" customWidth="1"/>
    <col min="7" max="7" width="20.36328125" style="210" customWidth="1"/>
    <col min="8" max="8" width="14.26953125" customWidth="1"/>
    <col min="9" max="9" width="17.36328125" customWidth="1"/>
    <col min="10" max="10" width="18.7265625" customWidth="1"/>
    <col min="11" max="11" width="16.90625" customWidth="1"/>
    <col min="12" max="12" width="20.08984375" customWidth="1"/>
    <col min="13" max="13" width="13.26953125" customWidth="1"/>
  </cols>
  <sheetData>
    <row r="1" spans="1:13" x14ac:dyDescent="0.35">
      <c r="A1" s="388" t="s">
        <v>50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90"/>
      <c r="M1" s="202"/>
    </row>
    <row r="2" spans="1:13" x14ac:dyDescent="0.35">
      <c r="A2" s="391">
        <v>46113</v>
      </c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3"/>
      <c r="M2" s="203"/>
    </row>
    <row r="3" spans="1:13" ht="15" thickBot="1" x14ac:dyDescent="0.4">
      <c r="A3" s="394" t="s">
        <v>155</v>
      </c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6"/>
      <c r="M3" s="204"/>
    </row>
    <row r="4" spans="1:13" x14ac:dyDescent="0.35">
      <c r="A4" s="184" t="s">
        <v>52</v>
      </c>
      <c r="B4" s="185" t="s">
        <v>2</v>
      </c>
      <c r="C4" s="184" t="s">
        <v>3</v>
      </c>
      <c r="D4" s="184" t="s">
        <v>0</v>
      </c>
      <c r="E4" s="184" t="s">
        <v>1</v>
      </c>
      <c r="F4" s="186" t="s">
        <v>10</v>
      </c>
      <c r="G4" s="211" t="s">
        <v>9</v>
      </c>
      <c r="H4" s="187" t="s">
        <v>11</v>
      </c>
      <c r="I4" s="188" t="s">
        <v>18</v>
      </c>
      <c r="J4" s="184" t="s">
        <v>17</v>
      </c>
      <c r="K4" s="189" t="s">
        <v>5</v>
      </c>
      <c r="L4" s="184" t="s">
        <v>8</v>
      </c>
      <c r="M4" s="190" t="s">
        <v>6</v>
      </c>
    </row>
    <row r="5" spans="1:13" x14ac:dyDescent="0.35">
      <c r="A5" s="191">
        <v>1</v>
      </c>
      <c r="B5" s="192">
        <v>46113</v>
      </c>
      <c r="C5" s="192">
        <v>46113</v>
      </c>
      <c r="D5" s="193">
        <v>0.33333333333333331</v>
      </c>
      <c r="E5" s="193">
        <v>0.83333333333333337</v>
      </c>
      <c r="F5" s="194">
        <v>408000</v>
      </c>
      <c r="G5" s="195">
        <f t="shared" ref="G5:G9" si="0">SUM(F5)</f>
        <v>408000</v>
      </c>
      <c r="H5" s="196" t="s">
        <v>12</v>
      </c>
      <c r="I5" s="213">
        <v>987264121751</v>
      </c>
      <c r="J5" s="213">
        <v>926100427257562</v>
      </c>
      <c r="K5" s="197" t="s">
        <v>19</v>
      </c>
      <c r="L5" s="191" t="s">
        <v>27</v>
      </c>
      <c r="M5" s="198" t="s">
        <v>22</v>
      </c>
    </row>
    <row r="6" spans="1:13" x14ac:dyDescent="0.35">
      <c r="A6" s="191">
        <v>2</v>
      </c>
      <c r="B6" s="192">
        <v>46113</v>
      </c>
      <c r="C6" s="192">
        <v>46113</v>
      </c>
      <c r="D6" s="193">
        <v>0.33333333333333331</v>
      </c>
      <c r="E6" s="193">
        <v>0.83333333333333337</v>
      </c>
      <c r="F6" s="199">
        <v>1391000</v>
      </c>
      <c r="G6" s="195">
        <f t="shared" si="0"/>
        <v>1391000</v>
      </c>
      <c r="H6" s="196" t="s">
        <v>12</v>
      </c>
      <c r="I6" s="213">
        <v>987264121751</v>
      </c>
      <c r="J6" s="213">
        <v>926100427257562</v>
      </c>
      <c r="K6" s="197" t="s">
        <v>20</v>
      </c>
      <c r="L6" s="191" t="s">
        <v>27</v>
      </c>
      <c r="M6" s="198" t="s">
        <v>124</v>
      </c>
    </row>
    <row r="7" spans="1:13" x14ac:dyDescent="0.35">
      <c r="A7" s="191">
        <v>3</v>
      </c>
      <c r="B7" s="192">
        <v>46113</v>
      </c>
      <c r="C7" s="192">
        <v>46114</v>
      </c>
      <c r="D7" s="193">
        <v>0.83333333333333337</v>
      </c>
      <c r="E7" s="193">
        <v>0.33333333333333331</v>
      </c>
      <c r="F7" s="199">
        <v>318000</v>
      </c>
      <c r="G7" s="195">
        <f t="shared" si="0"/>
        <v>318000</v>
      </c>
      <c r="H7" s="196" t="s">
        <v>12</v>
      </c>
      <c r="I7" s="213">
        <v>987264121751</v>
      </c>
      <c r="J7" s="213">
        <v>926100427257562</v>
      </c>
      <c r="K7" s="197" t="s">
        <v>25</v>
      </c>
      <c r="L7" s="191" t="s">
        <v>27</v>
      </c>
      <c r="M7" s="198" t="s">
        <v>22</v>
      </c>
    </row>
    <row r="8" spans="1:13" x14ac:dyDescent="0.35">
      <c r="A8" s="191">
        <v>4</v>
      </c>
      <c r="B8" s="192">
        <v>46113</v>
      </c>
      <c r="C8" s="192">
        <v>46114</v>
      </c>
      <c r="D8" s="193">
        <v>0.83333333333333337</v>
      </c>
      <c r="E8" s="193">
        <v>0.33333333333333331</v>
      </c>
      <c r="F8" s="199">
        <v>593000</v>
      </c>
      <c r="G8" s="195">
        <f t="shared" si="0"/>
        <v>593000</v>
      </c>
      <c r="H8" s="196" t="s">
        <v>12</v>
      </c>
      <c r="I8" s="213">
        <v>987264121751</v>
      </c>
      <c r="J8" s="213">
        <v>926100427257562</v>
      </c>
      <c r="K8" s="197" t="s">
        <v>24</v>
      </c>
      <c r="L8" s="191" t="s">
        <v>27</v>
      </c>
      <c r="M8" s="198" t="s">
        <v>124</v>
      </c>
    </row>
    <row r="9" spans="1:13" x14ac:dyDescent="0.35">
      <c r="A9" s="172">
        <v>5</v>
      </c>
      <c r="B9" s="173">
        <v>46113</v>
      </c>
      <c r="C9" s="173">
        <v>46113</v>
      </c>
      <c r="D9" s="207">
        <v>0.20833333333333334</v>
      </c>
      <c r="E9" s="207">
        <v>0.91666666666666663</v>
      </c>
      <c r="F9" s="178">
        <v>85000</v>
      </c>
      <c r="G9" s="174">
        <f t="shared" si="0"/>
        <v>85000</v>
      </c>
      <c r="H9" s="175"/>
      <c r="I9" s="214">
        <v>987264286108</v>
      </c>
      <c r="J9" s="214">
        <v>926118432821769</v>
      </c>
      <c r="K9" s="176" t="s">
        <v>157</v>
      </c>
      <c r="L9" s="179" t="s">
        <v>27</v>
      </c>
      <c r="M9" s="177" t="s">
        <v>158</v>
      </c>
    </row>
    <row r="10" spans="1:13" x14ac:dyDescent="0.35">
      <c r="A10" s="191">
        <v>6</v>
      </c>
      <c r="B10" s="192">
        <v>46114</v>
      </c>
      <c r="C10" s="192">
        <v>46114</v>
      </c>
      <c r="D10" s="193">
        <v>0.33333333333333331</v>
      </c>
      <c r="E10" s="193">
        <v>0.83333333333333337</v>
      </c>
      <c r="F10" s="199">
        <v>279000</v>
      </c>
      <c r="G10" s="195">
        <f>SUM(F10)</f>
        <v>279000</v>
      </c>
      <c r="H10" s="196" t="s">
        <v>12</v>
      </c>
      <c r="I10" s="213">
        <v>987264121759</v>
      </c>
      <c r="J10" s="213">
        <v>926100427257334</v>
      </c>
      <c r="K10" s="197" t="s">
        <v>19</v>
      </c>
      <c r="L10" s="191" t="s">
        <v>27</v>
      </c>
      <c r="M10" s="198" t="s">
        <v>22</v>
      </c>
    </row>
    <row r="11" spans="1:13" x14ac:dyDescent="0.35">
      <c r="A11" s="191">
        <v>7</v>
      </c>
      <c r="B11" s="192">
        <v>46114</v>
      </c>
      <c r="C11" s="192">
        <v>46114</v>
      </c>
      <c r="D11" s="193">
        <v>0.33333333333333331</v>
      </c>
      <c r="E11" s="193">
        <v>0.83333333333333337</v>
      </c>
      <c r="F11" s="199">
        <v>1557000</v>
      </c>
      <c r="G11" s="195">
        <f t="shared" ref="G11:G73" si="1">SUM(F11)</f>
        <v>1557000</v>
      </c>
      <c r="H11" s="196" t="s">
        <v>12</v>
      </c>
      <c r="I11" s="213">
        <v>987264121759</v>
      </c>
      <c r="J11" s="213">
        <v>926100427257334</v>
      </c>
      <c r="K11" s="200" t="s">
        <v>20</v>
      </c>
      <c r="L11" s="191" t="s">
        <v>27</v>
      </c>
      <c r="M11" s="198" t="s">
        <v>124</v>
      </c>
    </row>
    <row r="12" spans="1:13" x14ac:dyDescent="0.35">
      <c r="A12" s="205">
        <v>8</v>
      </c>
      <c r="B12" s="192">
        <v>46114</v>
      </c>
      <c r="C12" s="192">
        <v>46115</v>
      </c>
      <c r="D12" s="193">
        <v>0.83333333333333337</v>
      </c>
      <c r="E12" s="193">
        <v>0.33333333333333331</v>
      </c>
      <c r="F12" s="208">
        <v>132000</v>
      </c>
      <c r="G12" s="195">
        <f t="shared" si="1"/>
        <v>132000</v>
      </c>
      <c r="H12" s="196" t="s">
        <v>12</v>
      </c>
      <c r="I12" s="213">
        <v>987264121759</v>
      </c>
      <c r="J12" s="213">
        <v>926100427257334</v>
      </c>
      <c r="K12" s="201" t="s">
        <v>25</v>
      </c>
      <c r="L12" s="191" t="s">
        <v>27</v>
      </c>
      <c r="M12" s="201" t="s">
        <v>22</v>
      </c>
    </row>
    <row r="13" spans="1:13" x14ac:dyDescent="0.35">
      <c r="A13" s="205">
        <v>9</v>
      </c>
      <c r="B13" s="192">
        <v>46114</v>
      </c>
      <c r="C13" s="192">
        <v>46115</v>
      </c>
      <c r="D13" s="193">
        <v>0.83333333333333337</v>
      </c>
      <c r="E13" s="193">
        <v>0.33333333333333331</v>
      </c>
      <c r="F13" s="208">
        <v>586000</v>
      </c>
      <c r="G13" s="195">
        <f t="shared" si="1"/>
        <v>586000</v>
      </c>
      <c r="H13" s="196" t="s">
        <v>12</v>
      </c>
      <c r="I13" s="213">
        <v>987264121759</v>
      </c>
      <c r="J13" s="213">
        <v>926100427257334</v>
      </c>
      <c r="K13" s="201" t="s">
        <v>24</v>
      </c>
      <c r="L13" s="191" t="s">
        <v>27</v>
      </c>
      <c r="M13" s="201" t="s">
        <v>124</v>
      </c>
    </row>
    <row r="14" spans="1:13" x14ac:dyDescent="0.35">
      <c r="A14" s="206">
        <v>10</v>
      </c>
      <c r="B14" s="173">
        <v>46114</v>
      </c>
      <c r="C14" s="173">
        <v>46114</v>
      </c>
      <c r="D14" s="207">
        <v>0.20833333333333334</v>
      </c>
      <c r="E14" s="207">
        <v>0.91666666666666663</v>
      </c>
      <c r="F14" s="209">
        <v>66000</v>
      </c>
      <c r="G14" s="174">
        <f t="shared" si="1"/>
        <v>66000</v>
      </c>
      <c r="H14" s="175" t="s">
        <v>12</v>
      </c>
      <c r="I14" s="214">
        <v>987264286115</v>
      </c>
      <c r="J14" s="214">
        <v>926118432821578</v>
      </c>
      <c r="K14" s="180" t="s">
        <v>163</v>
      </c>
      <c r="L14" s="179" t="s">
        <v>27</v>
      </c>
      <c r="M14" s="180" t="s">
        <v>158</v>
      </c>
    </row>
    <row r="15" spans="1:13" x14ac:dyDescent="0.35">
      <c r="A15" s="205">
        <v>11</v>
      </c>
      <c r="B15" s="192">
        <v>46115</v>
      </c>
      <c r="C15" s="192">
        <v>46115</v>
      </c>
      <c r="D15" s="193">
        <v>0.33333333333333331</v>
      </c>
      <c r="E15" s="193">
        <v>0.83333333333333337</v>
      </c>
      <c r="F15" s="208">
        <v>425000</v>
      </c>
      <c r="G15" s="195">
        <f t="shared" si="1"/>
        <v>425000</v>
      </c>
      <c r="H15" s="196" t="s">
        <v>12</v>
      </c>
      <c r="I15" s="213">
        <v>987264121769</v>
      </c>
      <c r="J15" s="213">
        <v>926100427257877</v>
      </c>
      <c r="K15" s="201" t="s">
        <v>19</v>
      </c>
      <c r="L15" s="191" t="s">
        <v>27</v>
      </c>
      <c r="M15" s="201" t="s">
        <v>22</v>
      </c>
    </row>
    <row r="16" spans="1:13" x14ac:dyDescent="0.35">
      <c r="A16" s="205">
        <v>12</v>
      </c>
      <c r="B16" s="192">
        <v>46115</v>
      </c>
      <c r="C16" s="192">
        <v>46115</v>
      </c>
      <c r="D16" s="193">
        <v>0.33333333333333331</v>
      </c>
      <c r="E16" s="193">
        <v>0.83333333333333337</v>
      </c>
      <c r="F16" s="208">
        <v>1163000</v>
      </c>
      <c r="G16" s="195">
        <f t="shared" si="1"/>
        <v>1163000</v>
      </c>
      <c r="H16" s="196" t="s">
        <v>12</v>
      </c>
      <c r="I16" s="213">
        <v>987264121769</v>
      </c>
      <c r="J16" s="213">
        <v>926100427257877</v>
      </c>
      <c r="K16" s="201" t="s">
        <v>15</v>
      </c>
      <c r="L16" s="191" t="s">
        <v>27</v>
      </c>
      <c r="M16" s="201" t="s">
        <v>124</v>
      </c>
    </row>
    <row r="17" spans="1:13" x14ac:dyDescent="0.35">
      <c r="A17" s="205">
        <v>13</v>
      </c>
      <c r="B17" s="192">
        <v>46115</v>
      </c>
      <c r="C17" s="192">
        <v>46116</v>
      </c>
      <c r="D17" s="193">
        <v>0.83333333333333337</v>
      </c>
      <c r="E17" s="193">
        <v>0.33333333333333331</v>
      </c>
      <c r="F17" s="208">
        <v>115000</v>
      </c>
      <c r="G17" s="195">
        <f t="shared" si="1"/>
        <v>115000</v>
      </c>
      <c r="H17" s="196" t="s">
        <v>12</v>
      </c>
      <c r="I17" s="213">
        <v>987264121769</v>
      </c>
      <c r="J17" s="213">
        <v>926100427257877</v>
      </c>
      <c r="K17" s="201" t="s">
        <v>19</v>
      </c>
      <c r="L17" s="191" t="s">
        <v>27</v>
      </c>
      <c r="M17" s="201" t="s">
        <v>22</v>
      </c>
    </row>
    <row r="18" spans="1:13" x14ac:dyDescent="0.35">
      <c r="A18" s="205">
        <v>14</v>
      </c>
      <c r="B18" s="192">
        <v>46115</v>
      </c>
      <c r="C18" s="192">
        <v>46116</v>
      </c>
      <c r="D18" s="193">
        <v>0.83333333333333337</v>
      </c>
      <c r="E18" s="193">
        <v>0.33333333333333331</v>
      </c>
      <c r="F18" s="208">
        <v>568000</v>
      </c>
      <c r="G18" s="195">
        <f t="shared" si="1"/>
        <v>568000</v>
      </c>
      <c r="H18" s="196" t="s">
        <v>12</v>
      </c>
      <c r="I18" s="213">
        <v>987264121769</v>
      </c>
      <c r="J18" s="213">
        <v>926100427257877</v>
      </c>
      <c r="K18" s="201" t="s">
        <v>20</v>
      </c>
      <c r="L18" s="191" t="s">
        <v>27</v>
      </c>
      <c r="M18" s="201" t="s">
        <v>124</v>
      </c>
    </row>
    <row r="19" spans="1:13" x14ac:dyDescent="0.35">
      <c r="A19" s="206">
        <v>15</v>
      </c>
      <c r="B19" s="173">
        <v>46115</v>
      </c>
      <c r="C19" s="173">
        <v>46115</v>
      </c>
      <c r="D19" s="207">
        <v>0.20833333333333334</v>
      </c>
      <c r="E19" s="207">
        <v>0.91666666666666663</v>
      </c>
      <c r="F19" s="209">
        <v>50000</v>
      </c>
      <c r="G19" s="174">
        <f t="shared" si="1"/>
        <v>50000</v>
      </c>
      <c r="H19" s="175" t="s">
        <v>12</v>
      </c>
      <c r="I19" s="214">
        <v>987264286120</v>
      </c>
      <c r="J19" s="214">
        <v>926118432821369</v>
      </c>
      <c r="K19" s="180" t="s">
        <v>157</v>
      </c>
      <c r="L19" s="179" t="s">
        <v>45</v>
      </c>
      <c r="M19" s="180" t="s">
        <v>158</v>
      </c>
    </row>
    <row r="20" spans="1:13" x14ac:dyDescent="0.35">
      <c r="A20" s="205">
        <v>16</v>
      </c>
      <c r="B20" s="192">
        <v>46116</v>
      </c>
      <c r="C20" s="192">
        <v>46116</v>
      </c>
      <c r="D20" s="193">
        <v>0.33333333333333331</v>
      </c>
      <c r="E20" s="193">
        <v>0.83333333333333337</v>
      </c>
      <c r="F20" s="208">
        <v>249000</v>
      </c>
      <c r="G20" s="195">
        <f t="shared" si="1"/>
        <v>249000</v>
      </c>
      <c r="H20" s="196" t="s">
        <v>12</v>
      </c>
      <c r="I20" s="213">
        <v>987264121777</v>
      </c>
      <c r="J20" s="213">
        <v>926100427257114</v>
      </c>
      <c r="K20" s="201" t="s">
        <v>19</v>
      </c>
      <c r="L20" s="191" t="s">
        <v>27</v>
      </c>
      <c r="M20" s="201" t="s">
        <v>22</v>
      </c>
    </row>
    <row r="21" spans="1:13" x14ac:dyDescent="0.35">
      <c r="A21" s="205">
        <v>17</v>
      </c>
      <c r="B21" s="192">
        <v>46116</v>
      </c>
      <c r="C21" s="192">
        <v>46116</v>
      </c>
      <c r="D21" s="193">
        <v>0.33333333333333331</v>
      </c>
      <c r="E21" s="193">
        <v>0.83333333333333337</v>
      </c>
      <c r="F21" s="208">
        <v>1068000</v>
      </c>
      <c r="G21" s="195">
        <f t="shared" si="1"/>
        <v>1068000</v>
      </c>
      <c r="H21" s="196" t="s">
        <v>12</v>
      </c>
      <c r="I21" s="213">
        <v>987264121777</v>
      </c>
      <c r="J21" s="213">
        <v>926100427257114</v>
      </c>
      <c r="K21" s="201" t="s">
        <v>15</v>
      </c>
      <c r="L21" s="191" t="s">
        <v>27</v>
      </c>
      <c r="M21" s="201" t="s">
        <v>124</v>
      </c>
    </row>
    <row r="22" spans="1:13" x14ac:dyDescent="0.35">
      <c r="A22" s="205">
        <v>18</v>
      </c>
      <c r="B22" s="192">
        <v>46116</v>
      </c>
      <c r="C22" s="192">
        <v>46117</v>
      </c>
      <c r="D22" s="193">
        <v>0.83333333333333337</v>
      </c>
      <c r="E22" s="193">
        <v>0.33333333333333331</v>
      </c>
      <c r="F22" s="208">
        <v>155000</v>
      </c>
      <c r="G22" s="195">
        <f t="shared" si="1"/>
        <v>155000</v>
      </c>
      <c r="H22" s="196" t="s">
        <v>12</v>
      </c>
      <c r="I22" s="213">
        <v>987264121777</v>
      </c>
      <c r="J22" s="213">
        <v>926100427257114</v>
      </c>
      <c r="K22" s="201" t="s">
        <v>19</v>
      </c>
      <c r="L22" s="191" t="s">
        <v>27</v>
      </c>
      <c r="M22" s="201" t="s">
        <v>22</v>
      </c>
    </row>
    <row r="23" spans="1:13" x14ac:dyDescent="0.35">
      <c r="A23" s="205">
        <v>19</v>
      </c>
      <c r="B23" s="192">
        <v>46116</v>
      </c>
      <c r="C23" s="192">
        <v>46117</v>
      </c>
      <c r="D23" s="193">
        <v>0.83333333333333337</v>
      </c>
      <c r="E23" s="193">
        <v>0.33333333333333331</v>
      </c>
      <c r="F23" s="208">
        <v>353000</v>
      </c>
      <c r="G23" s="195">
        <f t="shared" si="1"/>
        <v>353000</v>
      </c>
      <c r="H23" s="196" t="s">
        <v>12</v>
      </c>
      <c r="I23" s="213">
        <v>987264121777</v>
      </c>
      <c r="J23" s="213">
        <v>926100427257114</v>
      </c>
      <c r="K23" s="201" t="s">
        <v>20</v>
      </c>
      <c r="L23" s="191" t="s">
        <v>27</v>
      </c>
      <c r="M23" s="201" t="s">
        <v>124</v>
      </c>
    </row>
    <row r="24" spans="1:13" x14ac:dyDescent="0.35">
      <c r="A24" s="206">
        <v>20</v>
      </c>
      <c r="B24" s="173">
        <v>46116</v>
      </c>
      <c r="C24" s="173">
        <v>46116</v>
      </c>
      <c r="D24" s="207">
        <v>0.20833333333333334</v>
      </c>
      <c r="E24" s="207">
        <v>0.91666666666666663</v>
      </c>
      <c r="F24" s="209">
        <v>65000</v>
      </c>
      <c r="G24" s="174">
        <f t="shared" si="1"/>
        <v>65000</v>
      </c>
      <c r="H24" s="175" t="s">
        <v>12</v>
      </c>
      <c r="I24" s="214">
        <v>987264286126</v>
      </c>
      <c r="J24" s="214">
        <v>926118432821180</v>
      </c>
      <c r="K24" s="180" t="s">
        <v>157</v>
      </c>
      <c r="L24" s="179" t="s">
        <v>27</v>
      </c>
      <c r="M24" s="180" t="s">
        <v>158</v>
      </c>
    </row>
    <row r="25" spans="1:13" x14ac:dyDescent="0.35">
      <c r="A25" s="205">
        <v>21</v>
      </c>
      <c r="B25" s="192">
        <v>46117</v>
      </c>
      <c r="C25" s="192">
        <v>46117</v>
      </c>
      <c r="D25" s="193">
        <v>0.33333333333333331</v>
      </c>
      <c r="E25" s="193">
        <v>0.83333333333333337</v>
      </c>
      <c r="F25" s="208">
        <v>131000</v>
      </c>
      <c r="G25" s="195">
        <f t="shared" si="1"/>
        <v>131000</v>
      </c>
      <c r="H25" s="196" t="s">
        <v>12</v>
      </c>
      <c r="I25" s="213">
        <v>987264121782</v>
      </c>
      <c r="J25" s="213">
        <v>926100427256878</v>
      </c>
      <c r="K25" s="201" t="s">
        <v>25</v>
      </c>
      <c r="L25" s="191" t="s">
        <v>27</v>
      </c>
      <c r="M25" s="201" t="s">
        <v>22</v>
      </c>
    </row>
    <row r="26" spans="1:13" x14ac:dyDescent="0.35">
      <c r="A26" s="205">
        <v>22</v>
      </c>
      <c r="B26" s="192">
        <v>46117</v>
      </c>
      <c r="C26" s="192">
        <v>46117</v>
      </c>
      <c r="D26" s="193">
        <v>0.33333333333333331</v>
      </c>
      <c r="E26" s="193">
        <v>0.83333333333333337</v>
      </c>
      <c r="F26" s="208">
        <v>659000</v>
      </c>
      <c r="G26" s="195">
        <f t="shared" si="1"/>
        <v>659000</v>
      </c>
      <c r="H26" s="196" t="s">
        <v>12</v>
      </c>
      <c r="I26" s="213">
        <v>987264121782</v>
      </c>
      <c r="J26" s="213">
        <v>926100427256878</v>
      </c>
      <c r="K26" s="201" t="s">
        <v>24</v>
      </c>
      <c r="L26" s="191" t="s">
        <v>27</v>
      </c>
      <c r="M26" s="201" t="s">
        <v>124</v>
      </c>
    </row>
    <row r="27" spans="1:13" x14ac:dyDescent="0.35">
      <c r="A27" s="205">
        <v>23</v>
      </c>
      <c r="B27" s="192">
        <v>46117</v>
      </c>
      <c r="C27" s="192">
        <v>46118</v>
      </c>
      <c r="D27" s="193">
        <v>0.83333333333333337</v>
      </c>
      <c r="E27" s="193">
        <v>0.33333333333333331</v>
      </c>
      <c r="F27" s="208">
        <v>88000</v>
      </c>
      <c r="G27" s="195">
        <f t="shared" si="1"/>
        <v>88000</v>
      </c>
      <c r="H27" s="196" t="s">
        <v>12</v>
      </c>
      <c r="I27" s="213">
        <v>987264121782</v>
      </c>
      <c r="J27" s="213">
        <v>926100427256878</v>
      </c>
      <c r="K27" s="201" t="s">
        <v>19</v>
      </c>
      <c r="L27" s="191" t="s">
        <v>27</v>
      </c>
      <c r="M27" s="201" t="s">
        <v>22</v>
      </c>
    </row>
    <row r="28" spans="1:13" x14ac:dyDescent="0.35">
      <c r="A28" s="205">
        <v>24</v>
      </c>
      <c r="B28" s="192">
        <v>46117</v>
      </c>
      <c r="C28" s="192">
        <v>46118</v>
      </c>
      <c r="D28" s="193">
        <v>0.83333333333333337</v>
      </c>
      <c r="E28" s="193">
        <v>0.33333333333333331</v>
      </c>
      <c r="F28" s="208">
        <v>414000</v>
      </c>
      <c r="G28" s="195">
        <f t="shared" si="1"/>
        <v>414000</v>
      </c>
      <c r="H28" s="196" t="s">
        <v>12</v>
      </c>
      <c r="I28" s="213">
        <v>987264121782</v>
      </c>
      <c r="J28" s="213">
        <v>926100427256878</v>
      </c>
      <c r="K28" s="201" t="s">
        <v>15</v>
      </c>
      <c r="L28" s="191" t="s">
        <v>27</v>
      </c>
      <c r="M28" s="201" t="s">
        <v>96</v>
      </c>
    </row>
    <row r="29" spans="1:13" x14ac:dyDescent="0.35">
      <c r="A29" s="206">
        <v>25</v>
      </c>
      <c r="B29" s="173">
        <v>46117</v>
      </c>
      <c r="C29" s="173">
        <v>46117</v>
      </c>
      <c r="D29" s="207">
        <v>0.20833333333333334</v>
      </c>
      <c r="E29" s="207">
        <v>0.91666666666666663</v>
      </c>
      <c r="F29" s="209">
        <v>57000</v>
      </c>
      <c r="G29" s="174">
        <f t="shared" si="1"/>
        <v>57000</v>
      </c>
      <c r="H29" s="175" t="s">
        <v>12</v>
      </c>
      <c r="I29" s="214">
        <v>987264286130</v>
      </c>
      <c r="J29" s="214">
        <v>926118432820957</v>
      </c>
      <c r="K29" s="180" t="s">
        <v>157</v>
      </c>
      <c r="L29" s="179" t="s">
        <v>27</v>
      </c>
      <c r="M29" s="180" t="s">
        <v>158</v>
      </c>
    </row>
    <row r="30" spans="1:13" x14ac:dyDescent="0.35">
      <c r="A30" s="205">
        <v>26</v>
      </c>
      <c r="B30" s="192">
        <v>46118</v>
      </c>
      <c r="C30" s="192">
        <v>46118</v>
      </c>
      <c r="D30" s="193">
        <v>0.33333333333333331</v>
      </c>
      <c r="E30" s="193">
        <v>0.83333333333333337</v>
      </c>
      <c r="F30" s="208">
        <v>734000</v>
      </c>
      <c r="G30" s="195">
        <f t="shared" si="1"/>
        <v>734000</v>
      </c>
      <c r="H30" s="196" t="s">
        <v>12</v>
      </c>
      <c r="I30" s="213">
        <v>987264121788</v>
      </c>
      <c r="J30" s="213">
        <v>926100427256455</v>
      </c>
      <c r="K30" s="201" t="s">
        <v>25</v>
      </c>
      <c r="L30" s="191" t="s">
        <v>27</v>
      </c>
      <c r="M30" s="201" t="s">
        <v>22</v>
      </c>
    </row>
    <row r="31" spans="1:13" x14ac:dyDescent="0.35">
      <c r="A31" s="205">
        <v>27</v>
      </c>
      <c r="B31" s="192">
        <v>46118</v>
      </c>
      <c r="C31" s="192">
        <v>46118</v>
      </c>
      <c r="D31" s="193">
        <v>0.33333333333333331</v>
      </c>
      <c r="E31" s="193">
        <v>0.83333333333333337</v>
      </c>
      <c r="F31" s="208">
        <v>1326000</v>
      </c>
      <c r="G31" s="195">
        <f t="shared" si="1"/>
        <v>1326000</v>
      </c>
      <c r="H31" s="196" t="s">
        <v>12</v>
      </c>
      <c r="I31" s="213">
        <v>987264121788</v>
      </c>
      <c r="J31" s="213">
        <v>926100427256455</v>
      </c>
      <c r="K31" s="201" t="s">
        <v>24</v>
      </c>
      <c r="L31" s="191" t="s">
        <v>27</v>
      </c>
      <c r="M31" s="201" t="s">
        <v>124</v>
      </c>
    </row>
    <row r="32" spans="1:13" x14ac:dyDescent="0.35">
      <c r="A32" s="205">
        <v>28</v>
      </c>
      <c r="B32" s="192">
        <v>46118</v>
      </c>
      <c r="C32" s="192">
        <v>46119</v>
      </c>
      <c r="D32" s="193">
        <v>0.83333333333333337</v>
      </c>
      <c r="E32" s="193">
        <v>0.33333333333333331</v>
      </c>
      <c r="F32" s="208">
        <v>371000</v>
      </c>
      <c r="G32" s="195">
        <f t="shared" si="1"/>
        <v>371000</v>
      </c>
      <c r="H32" s="196" t="s">
        <v>12</v>
      </c>
      <c r="I32" s="213">
        <v>987264121788</v>
      </c>
      <c r="J32" s="213">
        <v>926100427256455</v>
      </c>
      <c r="K32" s="201" t="s">
        <v>19</v>
      </c>
      <c r="L32" s="191" t="s">
        <v>27</v>
      </c>
      <c r="M32" s="201" t="s">
        <v>22</v>
      </c>
    </row>
    <row r="33" spans="1:13" x14ac:dyDescent="0.35">
      <c r="A33" s="205">
        <v>29</v>
      </c>
      <c r="B33" s="192">
        <v>46118</v>
      </c>
      <c r="C33" s="192">
        <v>46119</v>
      </c>
      <c r="D33" s="193">
        <v>0.83333333333333337</v>
      </c>
      <c r="E33" s="193">
        <v>0.33333333333333331</v>
      </c>
      <c r="F33" s="208">
        <v>582000</v>
      </c>
      <c r="G33" s="195">
        <f t="shared" si="1"/>
        <v>582000</v>
      </c>
      <c r="H33" s="196" t="s">
        <v>12</v>
      </c>
      <c r="I33" s="213">
        <v>987264121788</v>
      </c>
      <c r="J33" s="213">
        <v>926100427256455</v>
      </c>
      <c r="K33" s="201" t="s">
        <v>15</v>
      </c>
      <c r="L33" s="191" t="s">
        <v>27</v>
      </c>
      <c r="M33" s="201" t="s">
        <v>13</v>
      </c>
    </row>
    <row r="34" spans="1:13" x14ac:dyDescent="0.35">
      <c r="A34" s="206">
        <v>30</v>
      </c>
      <c r="B34" s="173">
        <v>46118</v>
      </c>
      <c r="C34" s="173">
        <v>46118</v>
      </c>
      <c r="D34" s="207">
        <v>0.20833333333333334</v>
      </c>
      <c r="E34" s="207">
        <v>0.91666666666666663</v>
      </c>
      <c r="F34" s="209">
        <v>45000</v>
      </c>
      <c r="G34" s="174">
        <f t="shared" si="1"/>
        <v>45000</v>
      </c>
      <c r="H34" s="175" t="s">
        <v>12</v>
      </c>
      <c r="I34" s="214">
        <v>987264286135</v>
      </c>
      <c r="J34" s="214">
        <v>926118432820684</v>
      </c>
      <c r="K34" s="180" t="s">
        <v>157</v>
      </c>
      <c r="L34" s="179" t="s">
        <v>27</v>
      </c>
      <c r="M34" s="180" t="s">
        <v>158</v>
      </c>
    </row>
    <row r="35" spans="1:13" x14ac:dyDescent="0.35">
      <c r="A35" s="205">
        <v>31</v>
      </c>
      <c r="B35" s="192">
        <v>46119</v>
      </c>
      <c r="C35" s="192">
        <v>46119</v>
      </c>
      <c r="D35" s="193">
        <v>0.33333333333333331</v>
      </c>
      <c r="E35" s="193">
        <v>0.83333333333333337</v>
      </c>
      <c r="F35" s="208">
        <v>505000</v>
      </c>
      <c r="G35" s="195">
        <f t="shared" si="1"/>
        <v>505000</v>
      </c>
      <c r="H35" s="196" t="s">
        <v>12</v>
      </c>
      <c r="I35" s="213">
        <v>987264121796</v>
      </c>
      <c r="J35" s="213">
        <v>926100427889851</v>
      </c>
      <c r="K35" s="201" t="s">
        <v>19</v>
      </c>
      <c r="L35" s="191" t="s">
        <v>27</v>
      </c>
      <c r="M35" s="201" t="s">
        <v>22</v>
      </c>
    </row>
    <row r="36" spans="1:13" x14ac:dyDescent="0.35">
      <c r="A36" s="205">
        <v>32</v>
      </c>
      <c r="B36" s="192">
        <v>46119</v>
      </c>
      <c r="C36" s="192">
        <v>46119</v>
      </c>
      <c r="D36" s="193">
        <v>0.33333333333333331</v>
      </c>
      <c r="E36" s="193">
        <v>0.83333333333333337</v>
      </c>
      <c r="F36" s="208">
        <v>1509000</v>
      </c>
      <c r="G36" s="195">
        <f t="shared" si="1"/>
        <v>1509000</v>
      </c>
      <c r="H36" s="196" t="s">
        <v>12</v>
      </c>
      <c r="I36" s="213">
        <v>987264121796</v>
      </c>
      <c r="J36" s="213">
        <v>926100427889851</v>
      </c>
      <c r="K36" s="201" t="s">
        <v>20</v>
      </c>
      <c r="L36" s="191" t="s">
        <v>27</v>
      </c>
      <c r="M36" s="201" t="s">
        <v>13</v>
      </c>
    </row>
    <row r="37" spans="1:13" x14ac:dyDescent="0.35">
      <c r="A37" s="205">
        <v>33</v>
      </c>
      <c r="B37" s="192">
        <v>46119</v>
      </c>
      <c r="C37" s="192">
        <v>46120</v>
      </c>
      <c r="D37" s="193">
        <v>0.83333333333333337</v>
      </c>
      <c r="E37" s="193">
        <v>0.33333333333333331</v>
      </c>
      <c r="F37" s="208">
        <v>216000</v>
      </c>
      <c r="G37" s="195">
        <f t="shared" si="1"/>
        <v>216000</v>
      </c>
      <c r="H37" s="196" t="s">
        <v>12</v>
      </c>
      <c r="I37" s="213">
        <v>987264121796</v>
      </c>
      <c r="J37" s="213">
        <v>926100427889851</v>
      </c>
      <c r="K37" s="201" t="s">
        <v>25</v>
      </c>
      <c r="L37" s="191" t="s">
        <v>27</v>
      </c>
      <c r="M37" s="201" t="s">
        <v>141</v>
      </c>
    </row>
    <row r="38" spans="1:13" x14ac:dyDescent="0.35">
      <c r="A38" s="205">
        <v>34</v>
      </c>
      <c r="B38" s="192">
        <v>46119</v>
      </c>
      <c r="C38" s="192">
        <v>46120</v>
      </c>
      <c r="D38" s="193">
        <v>0.83333333333333337</v>
      </c>
      <c r="E38" s="193">
        <v>0.33333333333333331</v>
      </c>
      <c r="F38" s="208">
        <v>661000</v>
      </c>
      <c r="G38" s="195">
        <f t="shared" si="1"/>
        <v>661000</v>
      </c>
      <c r="H38" s="196" t="s">
        <v>12</v>
      </c>
      <c r="I38" s="213">
        <v>987264121796</v>
      </c>
      <c r="J38" s="213">
        <v>926100427889851</v>
      </c>
      <c r="K38" s="201" t="s">
        <v>24</v>
      </c>
      <c r="L38" s="191" t="s">
        <v>27</v>
      </c>
      <c r="M38" s="201" t="s">
        <v>13</v>
      </c>
    </row>
    <row r="39" spans="1:13" x14ac:dyDescent="0.35">
      <c r="A39" s="206">
        <v>35</v>
      </c>
      <c r="B39" s="173">
        <v>46119</v>
      </c>
      <c r="C39" s="173">
        <v>46119</v>
      </c>
      <c r="D39" s="207">
        <v>0.20833333333333334</v>
      </c>
      <c r="E39" s="207">
        <v>0.91666666666666663</v>
      </c>
      <c r="F39" s="209">
        <v>59000</v>
      </c>
      <c r="G39" s="174">
        <f t="shared" si="1"/>
        <v>59000</v>
      </c>
      <c r="H39" s="175" t="s">
        <v>12</v>
      </c>
      <c r="I39" s="214">
        <v>987264286139</v>
      </c>
      <c r="J39" s="214">
        <v>926118432820340</v>
      </c>
      <c r="K39" s="180" t="s">
        <v>157</v>
      </c>
      <c r="L39" s="179" t="s">
        <v>27</v>
      </c>
      <c r="M39" s="180" t="s">
        <v>158</v>
      </c>
    </row>
    <row r="40" spans="1:13" x14ac:dyDescent="0.35">
      <c r="A40" s="205">
        <v>36</v>
      </c>
      <c r="B40" s="192">
        <v>46120</v>
      </c>
      <c r="C40" s="192">
        <v>46120</v>
      </c>
      <c r="D40" s="193">
        <v>0.33333333333333331</v>
      </c>
      <c r="E40" s="193">
        <v>0.83333333333333337</v>
      </c>
      <c r="F40" s="208">
        <v>486000</v>
      </c>
      <c r="G40" s="195">
        <f t="shared" si="1"/>
        <v>486000</v>
      </c>
      <c r="H40" s="196" t="s">
        <v>12</v>
      </c>
      <c r="I40" s="213">
        <v>987264121801</v>
      </c>
      <c r="J40" s="213">
        <v>926100427889601</v>
      </c>
      <c r="K40" s="201" t="s">
        <v>19</v>
      </c>
      <c r="L40" s="191" t="s">
        <v>27</v>
      </c>
      <c r="M40" s="201" t="s">
        <v>22</v>
      </c>
    </row>
    <row r="41" spans="1:13" x14ac:dyDescent="0.35">
      <c r="A41" s="205">
        <v>37</v>
      </c>
      <c r="B41" s="192">
        <v>46120</v>
      </c>
      <c r="C41" s="192">
        <v>46120</v>
      </c>
      <c r="D41" s="193">
        <v>0.33333333333333331</v>
      </c>
      <c r="E41" s="193">
        <v>0.83333333333333337</v>
      </c>
      <c r="F41" s="208">
        <v>1623000</v>
      </c>
      <c r="G41" s="195">
        <f t="shared" si="1"/>
        <v>1623000</v>
      </c>
      <c r="H41" s="196" t="s">
        <v>12</v>
      </c>
      <c r="I41" s="213">
        <v>987264121801</v>
      </c>
      <c r="J41" s="213">
        <v>926100427889601</v>
      </c>
      <c r="K41" s="201" t="s">
        <v>20</v>
      </c>
      <c r="L41" s="191" t="s">
        <v>27</v>
      </c>
      <c r="M41" s="201" t="s">
        <v>13</v>
      </c>
    </row>
    <row r="42" spans="1:13" x14ac:dyDescent="0.35">
      <c r="A42" s="205">
        <v>38</v>
      </c>
      <c r="B42" s="192">
        <v>46120</v>
      </c>
      <c r="C42" s="192">
        <v>46121</v>
      </c>
      <c r="D42" s="193">
        <v>0.83333333333333337</v>
      </c>
      <c r="E42" s="193">
        <v>0.33333333333333331</v>
      </c>
      <c r="F42" s="208">
        <v>257000</v>
      </c>
      <c r="G42" s="195">
        <f t="shared" si="1"/>
        <v>257000</v>
      </c>
      <c r="H42" s="196" t="s">
        <v>12</v>
      </c>
      <c r="I42" s="213">
        <v>987264121801</v>
      </c>
      <c r="J42" s="213">
        <v>926100427889601</v>
      </c>
      <c r="K42" s="201" t="s">
        <v>25</v>
      </c>
      <c r="L42" s="191" t="s">
        <v>27</v>
      </c>
      <c r="M42" s="201" t="s">
        <v>22</v>
      </c>
    </row>
    <row r="43" spans="1:13" x14ac:dyDescent="0.35">
      <c r="A43" s="205">
        <v>39</v>
      </c>
      <c r="B43" s="192">
        <v>46120</v>
      </c>
      <c r="C43" s="192">
        <v>46121</v>
      </c>
      <c r="D43" s="193">
        <v>0.83333333333333337</v>
      </c>
      <c r="E43" s="193">
        <v>0.33333333333333331</v>
      </c>
      <c r="F43" s="208">
        <v>415000</v>
      </c>
      <c r="G43" s="195">
        <f t="shared" si="1"/>
        <v>415000</v>
      </c>
      <c r="H43" s="196" t="s">
        <v>12</v>
      </c>
      <c r="I43" s="213">
        <v>987264121801</v>
      </c>
      <c r="J43" s="213">
        <v>926100427889601</v>
      </c>
      <c r="K43" s="201" t="s">
        <v>24</v>
      </c>
      <c r="L43" s="191" t="s">
        <v>27</v>
      </c>
      <c r="M43" s="201" t="s">
        <v>13</v>
      </c>
    </row>
    <row r="44" spans="1:13" x14ac:dyDescent="0.35">
      <c r="A44" s="206">
        <v>40</v>
      </c>
      <c r="B44" s="173">
        <v>46120</v>
      </c>
      <c r="C44" s="173">
        <v>46120</v>
      </c>
      <c r="D44" s="207">
        <v>0.20833333333333334</v>
      </c>
      <c r="E44" s="207">
        <v>0.91666666666666663</v>
      </c>
      <c r="F44" s="209">
        <v>60000</v>
      </c>
      <c r="G44" s="174">
        <f t="shared" si="1"/>
        <v>60000</v>
      </c>
      <c r="H44" s="175" t="s">
        <v>12</v>
      </c>
      <c r="I44" s="214">
        <v>987264286142</v>
      </c>
      <c r="J44" s="214">
        <v>926118432820133</v>
      </c>
      <c r="K44" s="180" t="s">
        <v>157</v>
      </c>
      <c r="L44" s="179" t="s">
        <v>27</v>
      </c>
      <c r="M44" s="180" t="s">
        <v>158</v>
      </c>
    </row>
    <row r="45" spans="1:13" x14ac:dyDescent="0.35">
      <c r="A45" s="205">
        <v>41</v>
      </c>
      <c r="B45" s="192">
        <v>46121</v>
      </c>
      <c r="C45" s="192">
        <v>46121</v>
      </c>
      <c r="D45" s="193">
        <v>0.33333333333333331</v>
      </c>
      <c r="E45" s="193">
        <v>0.83333333333333337</v>
      </c>
      <c r="F45" s="208">
        <v>220000</v>
      </c>
      <c r="G45" s="195">
        <f t="shared" si="1"/>
        <v>220000</v>
      </c>
      <c r="H45" s="196" t="s">
        <v>12</v>
      </c>
      <c r="I45" s="213">
        <v>987264145875</v>
      </c>
      <c r="J45" s="213">
        <v>926105428555498</v>
      </c>
      <c r="K45" s="201" t="s">
        <v>19</v>
      </c>
      <c r="L45" s="191" t="s">
        <v>27</v>
      </c>
      <c r="M45" s="201" t="s">
        <v>22</v>
      </c>
    </row>
    <row r="46" spans="1:13" x14ac:dyDescent="0.35">
      <c r="A46" s="205">
        <v>42</v>
      </c>
      <c r="B46" s="192">
        <v>46121</v>
      </c>
      <c r="C46" s="192">
        <v>46121</v>
      </c>
      <c r="D46" s="193">
        <v>0.33333333333333331</v>
      </c>
      <c r="E46" s="193">
        <v>0.83333333333333337</v>
      </c>
      <c r="F46" s="208">
        <v>1186000</v>
      </c>
      <c r="G46" s="195">
        <f t="shared" si="1"/>
        <v>1186000</v>
      </c>
      <c r="H46" s="196" t="s">
        <v>12</v>
      </c>
      <c r="I46" s="213">
        <v>987264145875</v>
      </c>
      <c r="J46" s="213">
        <v>926105428555498</v>
      </c>
      <c r="K46" s="201" t="s">
        <v>15</v>
      </c>
      <c r="L46" s="191" t="s">
        <v>27</v>
      </c>
      <c r="M46" s="201" t="s">
        <v>13</v>
      </c>
    </row>
    <row r="47" spans="1:13" x14ac:dyDescent="0.35">
      <c r="A47" s="205">
        <v>43</v>
      </c>
      <c r="B47" s="192">
        <v>46121</v>
      </c>
      <c r="C47" s="192">
        <v>46122</v>
      </c>
      <c r="D47" s="193">
        <v>0.83333333333333337</v>
      </c>
      <c r="E47" s="193">
        <v>0.33333333333333331</v>
      </c>
      <c r="F47" s="208">
        <v>281000</v>
      </c>
      <c r="G47" s="195">
        <f t="shared" si="1"/>
        <v>281000</v>
      </c>
      <c r="H47" s="196" t="s">
        <v>12</v>
      </c>
      <c r="I47" s="213">
        <v>987264145875</v>
      </c>
      <c r="J47" s="213">
        <v>926105428555498</v>
      </c>
      <c r="K47" s="201" t="s">
        <v>19</v>
      </c>
      <c r="L47" s="191" t="s">
        <v>27</v>
      </c>
      <c r="M47" s="201" t="s">
        <v>164</v>
      </c>
    </row>
    <row r="48" spans="1:13" x14ac:dyDescent="0.35">
      <c r="A48" s="205">
        <v>44</v>
      </c>
      <c r="B48" s="192">
        <v>46121</v>
      </c>
      <c r="C48" s="192">
        <v>46122</v>
      </c>
      <c r="D48" s="193">
        <v>0.83333333333333337</v>
      </c>
      <c r="E48" s="193">
        <v>0.33333333333333331</v>
      </c>
      <c r="F48" s="208">
        <v>478000</v>
      </c>
      <c r="G48" s="195">
        <f t="shared" si="1"/>
        <v>478000</v>
      </c>
      <c r="H48" s="196" t="s">
        <v>12</v>
      </c>
      <c r="I48" s="213">
        <v>987264145875</v>
      </c>
      <c r="J48" s="213">
        <v>926105428555498</v>
      </c>
      <c r="K48" s="201" t="s">
        <v>20</v>
      </c>
      <c r="L48" s="191" t="s">
        <v>27</v>
      </c>
      <c r="M48" s="201" t="s">
        <v>13</v>
      </c>
    </row>
    <row r="49" spans="1:13" x14ac:dyDescent="0.35">
      <c r="A49" s="206">
        <v>45</v>
      </c>
      <c r="B49" s="173">
        <v>46121</v>
      </c>
      <c r="C49" s="173">
        <v>46121</v>
      </c>
      <c r="D49" s="207">
        <v>0.20833333333333334</v>
      </c>
      <c r="E49" s="207">
        <v>0.91666666666666663</v>
      </c>
      <c r="F49" s="209">
        <v>63000</v>
      </c>
      <c r="G49" s="174">
        <f t="shared" si="1"/>
        <v>63000</v>
      </c>
      <c r="H49" s="175" t="s">
        <v>12</v>
      </c>
      <c r="I49" s="214">
        <v>987264286144</v>
      </c>
      <c r="J49" s="214">
        <v>926118432819930</v>
      </c>
      <c r="K49" s="180" t="s">
        <v>157</v>
      </c>
      <c r="L49" s="179" t="s">
        <v>27</v>
      </c>
      <c r="M49" s="180" t="s">
        <v>158</v>
      </c>
    </row>
    <row r="50" spans="1:13" x14ac:dyDescent="0.35">
      <c r="A50" s="205">
        <v>46</v>
      </c>
      <c r="B50" s="192">
        <v>46122</v>
      </c>
      <c r="C50" s="192">
        <v>46122</v>
      </c>
      <c r="D50" s="193">
        <v>0.33333333333333331</v>
      </c>
      <c r="E50" s="193">
        <v>0.83333333333333337</v>
      </c>
      <c r="F50" s="208">
        <v>729000</v>
      </c>
      <c r="G50" s="195">
        <f t="shared" si="1"/>
        <v>729000</v>
      </c>
      <c r="H50" s="196" t="s">
        <v>12</v>
      </c>
      <c r="I50" s="213">
        <v>987264145885</v>
      </c>
      <c r="J50" s="213">
        <v>926105428558386</v>
      </c>
      <c r="K50" s="201" t="s">
        <v>19</v>
      </c>
      <c r="L50" s="191" t="s">
        <v>27</v>
      </c>
      <c r="M50" s="201" t="s">
        <v>22</v>
      </c>
    </row>
    <row r="51" spans="1:13" x14ac:dyDescent="0.35">
      <c r="A51" s="205">
        <v>47</v>
      </c>
      <c r="B51" s="192">
        <v>46122</v>
      </c>
      <c r="C51" s="192">
        <v>46122</v>
      </c>
      <c r="D51" s="193">
        <v>0.33333333333333331</v>
      </c>
      <c r="E51" s="193">
        <v>0.83333333333333337</v>
      </c>
      <c r="F51" s="208">
        <v>1242000</v>
      </c>
      <c r="G51" s="195">
        <f t="shared" si="1"/>
        <v>1242000</v>
      </c>
      <c r="H51" s="196" t="s">
        <v>12</v>
      </c>
      <c r="I51" s="213">
        <v>987264145885</v>
      </c>
      <c r="J51" s="213">
        <v>926105428558386</v>
      </c>
      <c r="K51" s="201" t="s">
        <v>15</v>
      </c>
      <c r="L51" s="191" t="s">
        <v>27</v>
      </c>
      <c r="M51" s="201" t="s">
        <v>13</v>
      </c>
    </row>
    <row r="52" spans="1:13" x14ac:dyDescent="0.35">
      <c r="A52" s="205">
        <v>48</v>
      </c>
      <c r="B52" s="192">
        <v>46122</v>
      </c>
      <c r="C52" s="192">
        <v>46123</v>
      </c>
      <c r="D52" s="193">
        <v>0.83333333333333337</v>
      </c>
      <c r="E52" s="193">
        <v>0.33333333333333331</v>
      </c>
      <c r="F52" s="208">
        <v>123000</v>
      </c>
      <c r="G52" s="195">
        <f t="shared" si="1"/>
        <v>123000</v>
      </c>
      <c r="H52" s="196" t="s">
        <v>12</v>
      </c>
      <c r="I52" s="213">
        <v>987264145885</v>
      </c>
      <c r="J52" s="213">
        <v>926105428558386</v>
      </c>
      <c r="K52" s="201" t="s">
        <v>19</v>
      </c>
      <c r="L52" s="191" t="s">
        <v>27</v>
      </c>
      <c r="M52" s="201" t="s">
        <v>22</v>
      </c>
    </row>
    <row r="53" spans="1:13" x14ac:dyDescent="0.35">
      <c r="A53" s="205">
        <v>49</v>
      </c>
      <c r="B53" s="192">
        <v>46122</v>
      </c>
      <c r="C53" s="192">
        <v>46123</v>
      </c>
      <c r="D53" s="193">
        <v>0.83333333333333337</v>
      </c>
      <c r="E53" s="193">
        <v>0.33333333333333331</v>
      </c>
      <c r="F53" s="208">
        <v>565000</v>
      </c>
      <c r="G53" s="195">
        <f t="shared" si="1"/>
        <v>565000</v>
      </c>
      <c r="H53" s="196" t="s">
        <v>12</v>
      </c>
      <c r="I53" s="213">
        <v>987264145885</v>
      </c>
      <c r="J53" s="213">
        <v>926105428558386</v>
      </c>
      <c r="K53" s="201" t="s">
        <v>20</v>
      </c>
      <c r="L53" s="191" t="s">
        <v>27</v>
      </c>
      <c r="M53" s="201" t="s">
        <v>13</v>
      </c>
    </row>
    <row r="54" spans="1:13" x14ac:dyDescent="0.35">
      <c r="A54" s="206">
        <v>50</v>
      </c>
      <c r="B54" s="173">
        <v>46122</v>
      </c>
      <c r="C54" s="173">
        <v>46122</v>
      </c>
      <c r="D54" s="207">
        <v>0.20833333333333334</v>
      </c>
      <c r="E54" s="207">
        <v>0.91666666666666663</v>
      </c>
      <c r="F54" s="209">
        <v>49000</v>
      </c>
      <c r="G54" s="174">
        <f t="shared" si="1"/>
        <v>49000</v>
      </c>
      <c r="H54" s="175" t="s">
        <v>12</v>
      </c>
      <c r="I54" s="214">
        <v>987264286154</v>
      </c>
      <c r="J54" s="214">
        <v>926118432819751</v>
      </c>
      <c r="K54" s="180" t="s">
        <v>157</v>
      </c>
      <c r="L54" s="179" t="s">
        <v>27</v>
      </c>
      <c r="M54" s="180" t="s">
        <v>158</v>
      </c>
    </row>
    <row r="55" spans="1:13" x14ac:dyDescent="0.35">
      <c r="A55" s="205">
        <v>51</v>
      </c>
      <c r="B55" s="192">
        <v>46123</v>
      </c>
      <c r="C55" s="192">
        <v>46123</v>
      </c>
      <c r="D55" s="193">
        <v>0.33333333333333331</v>
      </c>
      <c r="E55" s="193">
        <v>0.83333333333333337</v>
      </c>
      <c r="F55" s="208">
        <v>369000</v>
      </c>
      <c r="G55" s="195">
        <f t="shared" si="1"/>
        <v>369000</v>
      </c>
      <c r="H55" s="196" t="s">
        <v>12</v>
      </c>
      <c r="I55" s="213">
        <v>987264145890</v>
      </c>
      <c r="J55" s="213">
        <v>926105428560449</v>
      </c>
      <c r="K55" s="201" t="s">
        <v>25</v>
      </c>
      <c r="L55" s="191" t="s">
        <v>27</v>
      </c>
      <c r="M55" s="201" t="s">
        <v>22</v>
      </c>
    </row>
    <row r="56" spans="1:13" x14ac:dyDescent="0.35">
      <c r="A56" s="205">
        <v>52</v>
      </c>
      <c r="B56" s="192">
        <v>46123</v>
      </c>
      <c r="C56" s="192">
        <v>46123</v>
      </c>
      <c r="D56" s="193">
        <v>0.33333333333333331</v>
      </c>
      <c r="E56" s="193">
        <v>0.83333333333333337</v>
      </c>
      <c r="F56" s="208">
        <v>1326000</v>
      </c>
      <c r="G56" s="195">
        <f t="shared" si="1"/>
        <v>1326000</v>
      </c>
      <c r="H56" s="196" t="s">
        <v>12</v>
      </c>
      <c r="I56" s="213">
        <v>987264145890</v>
      </c>
      <c r="J56" s="213">
        <v>926105428560449</v>
      </c>
      <c r="K56" s="201" t="s">
        <v>24</v>
      </c>
      <c r="L56" s="191" t="s">
        <v>27</v>
      </c>
      <c r="M56" s="201" t="s">
        <v>165</v>
      </c>
    </row>
    <row r="57" spans="1:13" x14ac:dyDescent="0.35">
      <c r="A57" s="205">
        <v>53</v>
      </c>
      <c r="B57" s="192">
        <v>46123</v>
      </c>
      <c r="C57" s="192">
        <v>46124</v>
      </c>
      <c r="D57" s="193">
        <v>0.83333333333333337</v>
      </c>
      <c r="E57" s="193">
        <v>0.33333333333333331</v>
      </c>
      <c r="F57" s="208">
        <v>303000</v>
      </c>
      <c r="G57" s="195">
        <f t="shared" si="1"/>
        <v>303000</v>
      </c>
      <c r="H57" s="196" t="s">
        <v>12</v>
      </c>
      <c r="I57" s="213">
        <v>987264145890</v>
      </c>
      <c r="J57" s="213">
        <v>926105428560449</v>
      </c>
      <c r="K57" s="201" t="s">
        <v>19</v>
      </c>
      <c r="L57" s="191" t="s">
        <v>27</v>
      </c>
      <c r="M57" s="201" t="s">
        <v>22</v>
      </c>
    </row>
    <row r="58" spans="1:13" x14ac:dyDescent="0.35">
      <c r="A58" s="205">
        <v>54</v>
      </c>
      <c r="B58" s="192">
        <v>46123</v>
      </c>
      <c r="C58" s="192">
        <v>46124</v>
      </c>
      <c r="D58" s="193">
        <v>0.83333333333333337</v>
      </c>
      <c r="E58" s="193">
        <v>0.33333333333333331</v>
      </c>
      <c r="F58" s="208">
        <v>686000</v>
      </c>
      <c r="G58" s="195">
        <f t="shared" si="1"/>
        <v>686000</v>
      </c>
      <c r="H58" s="196" t="s">
        <v>12</v>
      </c>
      <c r="I58" s="213">
        <v>987264145890</v>
      </c>
      <c r="J58" s="213">
        <v>926105428560449</v>
      </c>
      <c r="K58" s="201" t="s">
        <v>15</v>
      </c>
      <c r="L58" s="191" t="s">
        <v>27</v>
      </c>
      <c r="M58" s="201" t="s">
        <v>13</v>
      </c>
    </row>
    <row r="59" spans="1:13" x14ac:dyDescent="0.35">
      <c r="A59" s="206">
        <v>55</v>
      </c>
      <c r="B59" s="173">
        <v>46123</v>
      </c>
      <c r="C59" s="173">
        <v>46123</v>
      </c>
      <c r="D59" s="207">
        <v>0.20833333333333334</v>
      </c>
      <c r="E59" s="207">
        <v>0.91666666666666663</v>
      </c>
      <c r="F59" s="209">
        <v>44000</v>
      </c>
      <c r="G59" s="174">
        <f t="shared" si="1"/>
        <v>44000</v>
      </c>
      <c r="H59" s="175" t="s">
        <v>12</v>
      </c>
      <c r="I59" s="214">
        <v>987264286167</v>
      </c>
      <c r="J59" s="214">
        <v>926118432819536</v>
      </c>
      <c r="K59" s="180" t="s">
        <v>157</v>
      </c>
      <c r="L59" s="179" t="s">
        <v>27</v>
      </c>
      <c r="M59" s="180" t="s">
        <v>158</v>
      </c>
    </row>
    <row r="60" spans="1:13" x14ac:dyDescent="0.35">
      <c r="A60" s="205">
        <v>56</v>
      </c>
      <c r="B60" s="192">
        <v>46124</v>
      </c>
      <c r="C60" s="192">
        <v>46124</v>
      </c>
      <c r="D60" s="193">
        <v>0.33333333333333331</v>
      </c>
      <c r="E60" s="193">
        <v>0.83333333333333337</v>
      </c>
      <c r="F60" s="208">
        <v>485000</v>
      </c>
      <c r="G60" s="195">
        <f t="shared" si="1"/>
        <v>485000</v>
      </c>
      <c r="H60" s="196" t="s">
        <v>12</v>
      </c>
      <c r="I60" s="213">
        <v>987264145893</v>
      </c>
      <c r="J60" s="213">
        <v>926105428556628</v>
      </c>
      <c r="K60" s="201" t="s">
        <v>25</v>
      </c>
      <c r="L60" s="191" t="s">
        <v>27</v>
      </c>
      <c r="M60" s="201" t="s">
        <v>22</v>
      </c>
    </row>
    <row r="61" spans="1:13" x14ac:dyDescent="0.35">
      <c r="A61" s="205">
        <v>57</v>
      </c>
      <c r="B61" s="192">
        <v>46124</v>
      </c>
      <c r="C61" s="192">
        <v>46124</v>
      </c>
      <c r="D61" s="193">
        <v>0.33333333333333331</v>
      </c>
      <c r="E61" s="193">
        <v>0.83333333333333337</v>
      </c>
      <c r="F61" s="208">
        <v>1477000</v>
      </c>
      <c r="G61" s="195">
        <f t="shared" si="1"/>
        <v>1477000</v>
      </c>
      <c r="H61" s="196" t="s">
        <v>12</v>
      </c>
      <c r="I61" s="213">
        <v>987264145893</v>
      </c>
      <c r="J61" s="213">
        <v>926105428556628</v>
      </c>
      <c r="K61" s="201" t="s">
        <v>24</v>
      </c>
      <c r="L61" s="191" t="s">
        <v>27</v>
      </c>
      <c r="M61" s="201" t="s">
        <v>13</v>
      </c>
    </row>
    <row r="62" spans="1:13" x14ac:dyDescent="0.35">
      <c r="A62" s="205">
        <v>58</v>
      </c>
      <c r="B62" s="192">
        <v>46124</v>
      </c>
      <c r="C62" s="192">
        <v>46125</v>
      </c>
      <c r="D62" s="193">
        <v>0.83333333333333337</v>
      </c>
      <c r="E62" s="193">
        <v>0.33333333333333331</v>
      </c>
      <c r="F62" s="208">
        <v>466000</v>
      </c>
      <c r="G62" s="195">
        <f t="shared" si="1"/>
        <v>466000</v>
      </c>
      <c r="H62" s="196" t="s">
        <v>12</v>
      </c>
      <c r="I62" s="213">
        <v>987264145893</v>
      </c>
      <c r="J62" s="213">
        <v>926105428556628</v>
      </c>
      <c r="K62" s="201" t="s">
        <v>19</v>
      </c>
      <c r="L62" s="191" t="s">
        <v>27</v>
      </c>
      <c r="M62" s="201" t="s">
        <v>22</v>
      </c>
    </row>
    <row r="63" spans="1:13" x14ac:dyDescent="0.35">
      <c r="A63" s="205">
        <v>59</v>
      </c>
      <c r="B63" s="192">
        <v>46124</v>
      </c>
      <c r="C63" s="192">
        <v>46125</v>
      </c>
      <c r="D63" s="193">
        <v>0.83333333333333337</v>
      </c>
      <c r="E63" s="193">
        <v>0.33333333333333331</v>
      </c>
      <c r="F63" s="208">
        <v>629000</v>
      </c>
      <c r="G63" s="195">
        <f t="shared" si="1"/>
        <v>629000</v>
      </c>
      <c r="H63" s="196" t="s">
        <v>12</v>
      </c>
      <c r="I63" s="213">
        <v>987264145893</v>
      </c>
      <c r="J63" s="213">
        <v>926105428556628</v>
      </c>
      <c r="K63" s="201" t="s">
        <v>15</v>
      </c>
      <c r="L63" s="191" t="s">
        <v>27</v>
      </c>
      <c r="M63" s="201" t="s">
        <v>13</v>
      </c>
    </row>
    <row r="64" spans="1:13" x14ac:dyDescent="0.35">
      <c r="A64" s="206">
        <v>60</v>
      </c>
      <c r="B64" s="173">
        <v>46124</v>
      </c>
      <c r="C64" s="173">
        <v>46124</v>
      </c>
      <c r="D64" s="207">
        <v>0.20833333333333334</v>
      </c>
      <c r="E64" s="207">
        <v>0.91666666666666663</v>
      </c>
      <c r="F64" s="209">
        <v>41000</v>
      </c>
      <c r="G64" s="174">
        <f t="shared" si="1"/>
        <v>41000</v>
      </c>
      <c r="H64" s="175" t="s">
        <v>12</v>
      </c>
      <c r="I64" s="215">
        <v>987264286172</v>
      </c>
      <c r="J64" s="214">
        <v>926118432819296</v>
      </c>
      <c r="K64" s="180" t="s">
        <v>160</v>
      </c>
      <c r="L64" s="179" t="s">
        <v>27</v>
      </c>
      <c r="M64" s="180" t="s">
        <v>158</v>
      </c>
    </row>
    <row r="65" spans="1:13" x14ac:dyDescent="0.35">
      <c r="A65" s="205">
        <v>61</v>
      </c>
      <c r="B65" s="192">
        <v>46125</v>
      </c>
      <c r="C65" s="192">
        <v>46125</v>
      </c>
      <c r="D65" s="193">
        <v>0.33333333333333331</v>
      </c>
      <c r="E65" s="193">
        <v>0.83333333333333337</v>
      </c>
      <c r="F65" s="208">
        <v>222000</v>
      </c>
      <c r="G65" s="195">
        <f t="shared" si="1"/>
        <v>222000</v>
      </c>
      <c r="H65" s="196" t="s">
        <v>12</v>
      </c>
      <c r="I65" s="213">
        <v>987264165765</v>
      </c>
      <c r="J65" s="213">
        <v>926106428897200</v>
      </c>
      <c r="K65" s="201" t="s">
        <v>19</v>
      </c>
      <c r="L65" s="191" t="s">
        <v>27</v>
      </c>
      <c r="M65" s="201" t="s">
        <v>22</v>
      </c>
    </row>
    <row r="66" spans="1:13" x14ac:dyDescent="0.35">
      <c r="A66" s="205">
        <v>62</v>
      </c>
      <c r="B66" s="192">
        <v>46125</v>
      </c>
      <c r="C66" s="192">
        <v>46125</v>
      </c>
      <c r="D66" s="193">
        <v>0.33333333333333331</v>
      </c>
      <c r="E66" s="193">
        <v>0.83333333333333337</v>
      </c>
      <c r="F66" s="208">
        <v>1254000</v>
      </c>
      <c r="G66" s="195">
        <f t="shared" si="1"/>
        <v>1254000</v>
      </c>
      <c r="H66" s="196" t="s">
        <v>12</v>
      </c>
      <c r="I66" s="213">
        <v>987264165765</v>
      </c>
      <c r="J66" s="213">
        <v>926106428897200</v>
      </c>
      <c r="K66" s="201" t="s">
        <v>20</v>
      </c>
      <c r="L66" s="191" t="s">
        <v>27</v>
      </c>
      <c r="M66" s="201" t="s">
        <v>13</v>
      </c>
    </row>
    <row r="67" spans="1:13" x14ac:dyDescent="0.35">
      <c r="A67" s="205">
        <v>63</v>
      </c>
      <c r="B67" s="192">
        <v>46125</v>
      </c>
      <c r="C67" s="192">
        <v>46126</v>
      </c>
      <c r="D67" s="193">
        <v>0.83333333333333337</v>
      </c>
      <c r="E67" s="193">
        <v>0.33333333333333331</v>
      </c>
      <c r="F67" s="208">
        <v>118000</v>
      </c>
      <c r="G67" s="195">
        <f t="shared" si="1"/>
        <v>118000</v>
      </c>
      <c r="H67" s="196" t="s">
        <v>12</v>
      </c>
      <c r="I67" s="213">
        <v>987264165765</v>
      </c>
      <c r="J67" s="213">
        <v>926106428897200</v>
      </c>
      <c r="K67" s="201" t="s">
        <v>25</v>
      </c>
      <c r="L67" s="191" t="s">
        <v>27</v>
      </c>
      <c r="M67" s="201" t="s">
        <v>22</v>
      </c>
    </row>
    <row r="68" spans="1:13" x14ac:dyDescent="0.35">
      <c r="A68" s="205">
        <v>64</v>
      </c>
      <c r="B68" s="192">
        <v>46125</v>
      </c>
      <c r="C68" s="192">
        <v>46126</v>
      </c>
      <c r="D68" s="193">
        <v>0.83333333333333337</v>
      </c>
      <c r="E68" s="193">
        <v>0.33333333333333331</v>
      </c>
      <c r="F68" s="208">
        <v>484000</v>
      </c>
      <c r="G68" s="195">
        <f t="shared" si="1"/>
        <v>484000</v>
      </c>
      <c r="H68" s="196" t="s">
        <v>12</v>
      </c>
      <c r="I68" s="213">
        <v>987264165765</v>
      </c>
      <c r="J68" s="213">
        <v>926106428897200</v>
      </c>
      <c r="K68" s="201" t="s">
        <v>24</v>
      </c>
      <c r="L68" s="191" t="s">
        <v>27</v>
      </c>
      <c r="M68" s="201" t="s">
        <v>13</v>
      </c>
    </row>
    <row r="69" spans="1:13" x14ac:dyDescent="0.35">
      <c r="A69" s="206">
        <v>65</v>
      </c>
      <c r="B69" s="173">
        <v>46125</v>
      </c>
      <c r="C69" s="173">
        <v>46125</v>
      </c>
      <c r="D69" s="207">
        <v>0.20833333333333334</v>
      </c>
      <c r="E69" s="207">
        <v>0.91666666666666663</v>
      </c>
      <c r="F69" s="209">
        <v>80000</v>
      </c>
      <c r="G69" s="174">
        <f t="shared" si="1"/>
        <v>80000</v>
      </c>
      <c r="H69" s="175" t="s">
        <v>12</v>
      </c>
      <c r="I69" s="214">
        <v>987264311920</v>
      </c>
      <c r="J69" s="214">
        <v>926120433323520</v>
      </c>
      <c r="K69" s="180" t="s">
        <v>160</v>
      </c>
      <c r="L69" s="179" t="s">
        <v>45</v>
      </c>
      <c r="M69" s="180" t="s">
        <v>158</v>
      </c>
    </row>
    <row r="70" spans="1:13" x14ac:dyDescent="0.35">
      <c r="A70" s="205">
        <v>66</v>
      </c>
      <c r="B70" s="192">
        <v>46126</v>
      </c>
      <c r="C70" s="192">
        <v>46126</v>
      </c>
      <c r="D70" s="193">
        <v>0.33333333333333331</v>
      </c>
      <c r="E70" s="193">
        <v>0.83333333333333337</v>
      </c>
      <c r="F70" s="208">
        <v>283000</v>
      </c>
      <c r="G70" s="195">
        <f t="shared" si="1"/>
        <v>283000</v>
      </c>
      <c r="H70" s="196" t="s">
        <v>12</v>
      </c>
      <c r="I70" s="213">
        <v>987264188783</v>
      </c>
      <c r="J70" s="213">
        <v>926109429784979</v>
      </c>
      <c r="K70" s="201" t="s">
        <v>20</v>
      </c>
      <c r="L70" s="191" t="s">
        <v>27</v>
      </c>
      <c r="M70" s="201" t="s">
        <v>22</v>
      </c>
    </row>
    <row r="71" spans="1:13" x14ac:dyDescent="0.35">
      <c r="A71" s="205">
        <v>67</v>
      </c>
      <c r="B71" s="192">
        <v>46126</v>
      </c>
      <c r="C71" s="192">
        <v>46126</v>
      </c>
      <c r="D71" s="193">
        <v>0.33333333333333331</v>
      </c>
      <c r="E71" s="193">
        <v>0.83333333333333337</v>
      </c>
      <c r="F71" s="208">
        <v>982000</v>
      </c>
      <c r="G71" s="195">
        <f t="shared" si="1"/>
        <v>982000</v>
      </c>
      <c r="H71" s="196" t="s">
        <v>12</v>
      </c>
      <c r="I71" s="213">
        <v>987264188783</v>
      </c>
      <c r="J71" s="213">
        <v>926109429784979</v>
      </c>
      <c r="K71" s="201" t="s">
        <v>19</v>
      </c>
      <c r="L71" s="191" t="s">
        <v>27</v>
      </c>
      <c r="M71" s="201" t="s">
        <v>13</v>
      </c>
    </row>
    <row r="72" spans="1:13" x14ac:dyDescent="0.35">
      <c r="A72" s="205">
        <v>68</v>
      </c>
      <c r="B72" s="192">
        <v>46126</v>
      </c>
      <c r="C72" s="192">
        <v>46127</v>
      </c>
      <c r="D72" s="193">
        <v>0.83333333333333337</v>
      </c>
      <c r="E72" s="193">
        <v>0.33333333333333331</v>
      </c>
      <c r="F72" s="208">
        <v>211000</v>
      </c>
      <c r="G72" s="195">
        <f t="shared" si="1"/>
        <v>211000</v>
      </c>
      <c r="H72" s="196" t="s">
        <v>12</v>
      </c>
      <c r="I72" s="213">
        <v>987264188783</v>
      </c>
      <c r="J72" s="213">
        <v>926109429784979</v>
      </c>
      <c r="K72" s="201" t="s">
        <v>25</v>
      </c>
      <c r="L72" s="191" t="s">
        <v>27</v>
      </c>
      <c r="M72" s="201" t="s">
        <v>22</v>
      </c>
    </row>
    <row r="73" spans="1:13" x14ac:dyDescent="0.35">
      <c r="A73" s="205">
        <v>69</v>
      </c>
      <c r="B73" s="192">
        <v>46126</v>
      </c>
      <c r="C73" s="192">
        <v>46127</v>
      </c>
      <c r="D73" s="193">
        <v>0.83333333333333337</v>
      </c>
      <c r="E73" s="193">
        <v>0.33333333333333331</v>
      </c>
      <c r="F73" s="208">
        <v>488000</v>
      </c>
      <c r="G73" s="195">
        <f t="shared" si="1"/>
        <v>488000</v>
      </c>
      <c r="H73" s="196" t="s">
        <v>12</v>
      </c>
      <c r="I73" s="213">
        <v>987264188783</v>
      </c>
      <c r="J73" s="213">
        <v>926109429784979</v>
      </c>
      <c r="K73" s="201" t="s">
        <v>24</v>
      </c>
      <c r="L73" s="191" t="s">
        <v>27</v>
      </c>
      <c r="M73" s="201" t="s">
        <v>13</v>
      </c>
    </row>
    <row r="74" spans="1:13" x14ac:dyDescent="0.35">
      <c r="A74" s="206">
        <v>70</v>
      </c>
      <c r="B74" s="173">
        <v>46126</v>
      </c>
      <c r="C74" s="173">
        <v>46126</v>
      </c>
      <c r="D74" s="207">
        <v>0.20833333333333334</v>
      </c>
      <c r="E74" s="207">
        <v>0.91666666666666663</v>
      </c>
      <c r="F74" s="209">
        <v>51000</v>
      </c>
      <c r="G74" s="174">
        <f t="shared" ref="G74:G154" si="2">SUM(F74)</f>
        <v>51000</v>
      </c>
      <c r="H74" s="175" t="s">
        <v>12</v>
      </c>
      <c r="I74" s="214">
        <v>987264311939</v>
      </c>
      <c r="J74" s="214">
        <v>926120433321437</v>
      </c>
      <c r="K74" s="180" t="s">
        <v>157</v>
      </c>
      <c r="L74" s="179" t="s">
        <v>45</v>
      </c>
      <c r="M74" s="180" t="s">
        <v>158</v>
      </c>
    </row>
    <row r="75" spans="1:13" x14ac:dyDescent="0.35">
      <c r="A75" s="205">
        <v>71</v>
      </c>
      <c r="B75" s="192">
        <v>46127</v>
      </c>
      <c r="C75" s="192">
        <v>46127</v>
      </c>
      <c r="D75" s="193">
        <v>0.33333333333333331</v>
      </c>
      <c r="E75" s="193">
        <v>0.83333333333333337</v>
      </c>
      <c r="F75" s="208">
        <v>329000</v>
      </c>
      <c r="G75" s="195">
        <f t="shared" si="2"/>
        <v>329000</v>
      </c>
      <c r="H75" s="196" t="s">
        <v>12</v>
      </c>
      <c r="I75" s="213">
        <v>9872641887787</v>
      </c>
      <c r="J75" s="213">
        <v>926109429785270</v>
      </c>
      <c r="K75" s="201" t="s">
        <v>19</v>
      </c>
      <c r="L75" s="191" t="s">
        <v>27</v>
      </c>
      <c r="M75" s="201" t="s">
        <v>22</v>
      </c>
    </row>
    <row r="76" spans="1:13" x14ac:dyDescent="0.35">
      <c r="A76" s="205">
        <v>72</v>
      </c>
      <c r="B76" s="192">
        <v>46127</v>
      </c>
      <c r="C76" s="192">
        <v>46127</v>
      </c>
      <c r="D76" s="193">
        <v>0.33333333333333331</v>
      </c>
      <c r="E76" s="193">
        <v>0.83333333333333337</v>
      </c>
      <c r="F76" s="208">
        <v>1238000</v>
      </c>
      <c r="G76" s="195">
        <f t="shared" si="2"/>
        <v>1238000</v>
      </c>
      <c r="H76" s="196" t="s">
        <v>12</v>
      </c>
      <c r="I76" s="213">
        <v>9872641887787</v>
      </c>
      <c r="J76" s="213">
        <v>926109429785270</v>
      </c>
      <c r="K76" s="201" t="s">
        <v>15</v>
      </c>
      <c r="L76" s="191" t="s">
        <v>27</v>
      </c>
      <c r="M76" s="201" t="s">
        <v>13</v>
      </c>
    </row>
    <row r="77" spans="1:13" x14ac:dyDescent="0.35">
      <c r="A77" s="205">
        <v>73</v>
      </c>
      <c r="B77" s="192">
        <v>46127</v>
      </c>
      <c r="C77" s="192">
        <v>46128</v>
      </c>
      <c r="D77" s="193">
        <v>0.83333333333333337</v>
      </c>
      <c r="E77" s="193">
        <v>0.33333333333333331</v>
      </c>
      <c r="F77" s="208">
        <v>166000</v>
      </c>
      <c r="G77" s="195">
        <f t="shared" si="2"/>
        <v>166000</v>
      </c>
      <c r="H77" s="196" t="s">
        <v>12</v>
      </c>
      <c r="I77" s="213">
        <v>9872641887787</v>
      </c>
      <c r="J77" s="213">
        <v>926109429785270</v>
      </c>
      <c r="K77" s="201" t="s">
        <v>19</v>
      </c>
      <c r="L77" s="191" t="s">
        <v>27</v>
      </c>
      <c r="M77" s="201" t="s">
        <v>22</v>
      </c>
    </row>
    <row r="78" spans="1:13" x14ac:dyDescent="0.35">
      <c r="A78" s="205">
        <v>74</v>
      </c>
      <c r="B78" s="192">
        <v>46127</v>
      </c>
      <c r="C78" s="192">
        <v>46128</v>
      </c>
      <c r="D78" s="193">
        <v>0.83333333333333337</v>
      </c>
      <c r="E78" s="193">
        <v>0.33333333333333331</v>
      </c>
      <c r="F78" s="208">
        <v>543000</v>
      </c>
      <c r="G78" s="195">
        <f t="shared" si="2"/>
        <v>543000</v>
      </c>
      <c r="H78" s="196" t="s">
        <v>12</v>
      </c>
      <c r="I78" s="213">
        <v>9872641887787</v>
      </c>
      <c r="J78" s="213">
        <v>926109429785270</v>
      </c>
      <c r="K78" s="201" t="s">
        <v>20</v>
      </c>
      <c r="L78" s="191" t="s">
        <v>27</v>
      </c>
      <c r="M78" s="201" t="s">
        <v>13</v>
      </c>
    </row>
    <row r="79" spans="1:13" x14ac:dyDescent="0.35">
      <c r="A79" s="206">
        <v>75</v>
      </c>
      <c r="B79" s="173">
        <v>46127</v>
      </c>
      <c r="C79" s="173">
        <v>46127</v>
      </c>
      <c r="D79" s="207">
        <v>0.20833333333333334</v>
      </c>
      <c r="E79" s="207">
        <v>0.91666666666666663</v>
      </c>
      <c r="F79" s="209">
        <v>75000</v>
      </c>
      <c r="G79" s="174">
        <f t="shared" si="2"/>
        <v>75000</v>
      </c>
      <c r="H79" s="175" t="s">
        <v>12</v>
      </c>
      <c r="I79" s="214">
        <v>987264311925</v>
      </c>
      <c r="J79" s="214">
        <v>926120433322474</v>
      </c>
      <c r="K79" s="180" t="s">
        <v>157</v>
      </c>
      <c r="L79" s="179" t="s">
        <v>45</v>
      </c>
      <c r="M79" s="180" t="s">
        <v>158</v>
      </c>
    </row>
    <row r="80" spans="1:13" x14ac:dyDescent="0.35">
      <c r="A80" s="205">
        <v>76</v>
      </c>
      <c r="B80" s="192">
        <v>46128</v>
      </c>
      <c r="C80" s="192">
        <v>46128</v>
      </c>
      <c r="D80" s="193">
        <v>0.33333333333333331</v>
      </c>
      <c r="E80" s="193">
        <v>0.83333333333333337</v>
      </c>
      <c r="F80" s="208">
        <v>199000</v>
      </c>
      <c r="G80" s="195">
        <f t="shared" si="2"/>
        <v>199000</v>
      </c>
      <c r="H80" s="196" t="s">
        <v>12</v>
      </c>
      <c r="I80" s="213">
        <v>987264188796</v>
      </c>
      <c r="J80" s="213">
        <v>926109429785585</v>
      </c>
      <c r="K80" s="201" t="s">
        <v>19</v>
      </c>
      <c r="L80" s="191" t="s">
        <v>27</v>
      </c>
      <c r="M80" s="201" t="s">
        <v>21</v>
      </c>
    </row>
    <row r="81" spans="1:13" x14ac:dyDescent="0.35">
      <c r="A81" s="205">
        <v>77</v>
      </c>
      <c r="B81" s="192">
        <v>46128</v>
      </c>
      <c r="C81" s="192">
        <v>46128</v>
      </c>
      <c r="D81" s="193">
        <v>0.33333333333333331</v>
      </c>
      <c r="E81" s="193">
        <v>0.83333333333333337</v>
      </c>
      <c r="F81" s="208">
        <v>1164000</v>
      </c>
      <c r="G81" s="195">
        <f t="shared" si="2"/>
        <v>1164000</v>
      </c>
      <c r="H81" s="196" t="s">
        <v>12</v>
      </c>
      <c r="I81" s="213">
        <v>987264188796</v>
      </c>
      <c r="J81" s="213">
        <v>926109429785585</v>
      </c>
      <c r="K81" s="201" t="s">
        <v>15</v>
      </c>
      <c r="L81" s="191" t="s">
        <v>27</v>
      </c>
      <c r="M81" s="201" t="s">
        <v>13</v>
      </c>
    </row>
    <row r="82" spans="1:13" x14ac:dyDescent="0.35">
      <c r="A82" s="205">
        <v>78</v>
      </c>
      <c r="B82" s="192">
        <v>46128</v>
      </c>
      <c r="C82" s="192">
        <v>46129</v>
      </c>
      <c r="D82" s="193">
        <v>0.83333333333333337</v>
      </c>
      <c r="E82" s="193">
        <v>0.33333333333333331</v>
      </c>
      <c r="F82" s="208">
        <v>191000</v>
      </c>
      <c r="G82" s="195">
        <f t="shared" si="2"/>
        <v>191000</v>
      </c>
      <c r="H82" s="196" t="s">
        <v>12</v>
      </c>
      <c r="I82" s="213">
        <v>987264188796</v>
      </c>
      <c r="J82" s="213">
        <v>926109429785585</v>
      </c>
      <c r="K82" s="201" t="s">
        <v>19</v>
      </c>
      <c r="L82" s="191" t="s">
        <v>27</v>
      </c>
      <c r="M82" s="201" t="s">
        <v>21</v>
      </c>
    </row>
    <row r="83" spans="1:13" x14ac:dyDescent="0.35">
      <c r="A83" s="205">
        <v>79</v>
      </c>
      <c r="B83" s="192">
        <v>46128</v>
      </c>
      <c r="C83" s="192">
        <v>46129</v>
      </c>
      <c r="D83" s="193">
        <v>0.83333333333333337</v>
      </c>
      <c r="E83" s="193">
        <v>0.33333333333333331</v>
      </c>
      <c r="F83" s="208">
        <v>710000</v>
      </c>
      <c r="G83" s="195">
        <f t="shared" si="2"/>
        <v>710000</v>
      </c>
      <c r="H83" s="196" t="s">
        <v>12</v>
      </c>
      <c r="I83" s="213">
        <v>987264188796</v>
      </c>
      <c r="J83" s="213">
        <v>926109429785585</v>
      </c>
      <c r="K83" s="201" t="s">
        <v>20</v>
      </c>
      <c r="L83" s="191" t="s">
        <v>27</v>
      </c>
      <c r="M83" s="201" t="s">
        <v>13</v>
      </c>
    </row>
    <row r="84" spans="1:13" x14ac:dyDescent="0.35">
      <c r="A84" s="206">
        <v>80</v>
      </c>
      <c r="B84" s="173">
        <v>46128</v>
      </c>
      <c r="C84" s="173">
        <v>46128</v>
      </c>
      <c r="D84" s="207">
        <v>0.20833333333333334</v>
      </c>
      <c r="E84" s="207">
        <v>0.91666666666666663</v>
      </c>
      <c r="F84" s="209">
        <v>80000</v>
      </c>
      <c r="G84" s="174">
        <f t="shared" si="2"/>
        <v>80000</v>
      </c>
      <c r="H84" s="175" t="s">
        <v>12</v>
      </c>
      <c r="I84" s="214">
        <v>987264311920</v>
      </c>
      <c r="J84" s="214">
        <v>926120433323520</v>
      </c>
      <c r="K84" s="180" t="s">
        <v>160</v>
      </c>
      <c r="L84" s="179" t="s">
        <v>45</v>
      </c>
      <c r="M84" s="180" t="s">
        <v>158</v>
      </c>
    </row>
    <row r="85" spans="1:13" x14ac:dyDescent="0.35">
      <c r="A85" s="205">
        <v>81</v>
      </c>
      <c r="B85" s="192">
        <v>46129</v>
      </c>
      <c r="C85" s="192">
        <v>46129</v>
      </c>
      <c r="D85" s="193">
        <v>0.33333333333333331</v>
      </c>
      <c r="E85" s="193">
        <v>0.83333333333333337</v>
      </c>
      <c r="F85" s="208">
        <v>402000</v>
      </c>
      <c r="G85" s="195">
        <f t="shared" si="2"/>
        <v>402000</v>
      </c>
      <c r="H85" s="196" t="s">
        <v>12</v>
      </c>
      <c r="I85" s="213">
        <v>987264225723</v>
      </c>
      <c r="J85" s="213">
        <v>926112430887327</v>
      </c>
      <c r="K85" s="201" t="s">
        <v>25</v>
      </c>
      <c r="L85" s="191" t="s">
        <v>27</v>
      </c>
      <c r="M85" s="201" t="s">
        <v>21</v>
      </c>
    </row>
    <row r="86" spans="1:13" x14ac:dyDescent="0.35">
      <c r="A86" s="205">
        <v>82</v>
      </c>
      <c r="B86" s="192">
        <v>46129</v>
      </c>
      <c r="C86" s="192">
        <v>46129</v>
      </c>
      <c r="D86" s="193">
        <v>0.33333333333333331</v>
      </c>
      <c r="E86" s="193">
        <v>0.83333333333333337</v>
      </c>
      <c r="F86" s="208">
        <v>1232000</v>
      </c>
      <c r="G86" s="195">
        <f t="shared" si="2"/>
        <v>1232000</v>
      </c>
      <c r="H86" s="196" t="s">
        <v>12</v>
      </c>
      <c r="I86" s="213">
        <v>987264225723</v>
      </c>
      <c r="J86" s="213">
        <v>926112430887327</v>
      </c>
      <c r="K86" s="201" t="s">
        <v>24</v>
      </c>
      <c r="L86" s="191" t="s">
        <v>27</v>
      </c>
      <c r="M86" s="201" t="s">
        <v>13</v>
      </c>
    </row>
    <row r="87" spans="1:13" x14ac:dyDescent="0.35">
      <c r="A87" s="205">
        <v>83</v>
      </c>
      <c r="B87" s="192">
        <v>46129</v>
      </c>
      <c r="C87" s="192">
        <v>46130</v>
      </c>
      <c r="D87" s="193">
        <v>0.83333333333333337</v>
      </c>
      <c r="E87" s="193">
        <v>0.33333333333333331</v>
      </c>
      <c r="F87" s="208">
        <v>161000</v>
      </c>
      <c r="G87" s="195">
        <f t="shared" si="2"/>
        <v>161000</v>
      </c>
      <c r="H87" s="196" t="s">
        <v>12</v>
      </c>
      <c r="I87" s="213">
        <v>987264225723</v>
      </c>
      <c r="J87" s="213">
        <v>926112430887327</v>
      </c>
      <c r="K87" s="201" t="s">
        <v>166</v>
      </c>
      <c r="L87" s="191" t="s">
        <v>27</v>
      </c>
      <c r="M87" s="201" t="s">
        <v>21</v>
      </c>
    </row>
    <row r="88" spans="1:13" x14ac:dyDescent="0.35">
      <c r="A88" s="205">
        <v>84</v>
      </c>
      <c r="B88" s="192">
        <v>46129</v>
      </c>
      <c r="C88" s="192">
        <v>46130</v>
      </c>
      <c r="D88" s="193">
        <v>0.83333333333333337</v>
      </c>
      <c r="E88" s="193">
        <v>0.33333333333333331</v>
      </c>
      <c r="F88" s="208">
        <v>473000</v>
      </c>
      <c r="G88" s="195">
        <f t="shared" si="2"/>
        <v>473000</v>
      </c>
      <c r="H88" s="196" t="s">
        <v>12</v>
      </c>
      <c r="I88" s="213">
        <v>987264225723</v>
      </c>
      <c r="J88" s="213">
        <v>926112430887327</v>
      </c>
      <c r="K88" s="201" t="s">
        <v>15</v>
      </c>
      <c r="L88" s="191" t="s">
        <v>27</v>
      </c>
      <c r="M88" s="201" t="s">
        <v>13</v>
      </c>
    </row>
    <row r="89" spans="1:13" x14ac:dyDescent="0.35">
      <c r="A89" s="206">
        <v>85</v>
      </c>
      <c r="B89" s="173">
        <v>46129</v>
      </c>
      <c r="C89" s="173">
        <v>46129</v>
      </c>
      <c r="D89" s="207">
        <v>0.20833333333333334</v>
      </c>
      <c r="E89" s="207">
        <v>0.91666666666666663</v>
      </c>
      <c r="F89" s="209">
        <v>51000</v>
      </c>
      <c r="G89" s="174">
        <f t="shared" si="2"/>
        <v>51000</v>
      </c>
      <c r="H89" s="175" t="s">
        <v>12</v>
      </c>
      <c r="I89" s="214">
        <v>987264311939</v>
      </c>
      <c r="J89" s="179" t="s">
        <v>27</v>
      </c>
      <c r="K89" s="180" t="s">
        <v>160</v>
      </c>
      <c r="L89" s="179" t="s">
        <v>45</v>
      </c>
      <c r="M89" s="180" t="s">
        <v>158</v>
      </c>
    </row>
    <row r="90" spans="1:13" x14ac:dyDescent="0.35">
      <c r="A90" s="205">
        <v>86</v>
      </c>
      <c r="B90" s="192">
        <v>46130</v>
      </c>
      <c r="C90" s="192">
        <v>46130</v>
      </c>
      <c r="D90" s="193">
        <v>0.33333333333333331</v>
      </c>
      <c r="E90" s="193">
        <v>0.83333333333333337</v>
      </c>
      <c r="F90" s="208">
        <v>387000</v>
      </c>
      <c r="G90" s="195">
        <f t="shared" si="2"/>
        <v>387000</v>
      </c>
      <c r="H90" s="196" t="s">
        <v>12</v>
      </c>
      <c r="I90" s="213">
        <v>987264225742</v>
      </c>
      <c r="J90" s="213">
        <v>926112430884309</v>
      </c>
      <c r="K90" s="201" t="s">
        <v>167</v>
      </c>
      <c r="L90" s="191" t="s">
        <v>27</v>
      </c>
      <c r="M90" s="201" t="s">
        <v>21</v>
      </c>
    </row>
    <row r="91" spans="1:13" x14ac:dyDescent="0.35">
      <c r="A91" s="205">
        <v>87</v>
      </c>
      <c r="B91" s="192">
        <v>46130</v>
      </c>
      <c r="C91" s="192">
        <v>46130</v>
      </c>
      <c r="D91" s="193">
        <v>0.33333333333333331</v>
      </c>
      <c r="E91" s="193">
        <v>0.83333333333333337</v>
      </c>
      <c r="F91" s="208">
        <v>1005000</v>
      </c>
      <c r="G91" s="195">
        <f t="shared" si="2"/>
        <v>1005000</v>
      </c>
      <c r="H91" s="196" t="s">
        <v>12</v>
      </c>
      <c r="I91" s="213">
        <v>987264225742</v>
      </c>
      <c r="J91" s="213">
        <v>926112430884309</v>
      </c>
      <c r="K91" s="201" t="s">
        <v>24</v>
      </c>
      <c r="L91" s="191" t="s">
        <v>27</v>
      </c>
      <c r="M91" s="201" t="s">
        <v>13</v>
      </c>
    </row>
    <row r="92" spans="1:13" x14ac:dyDescent="0.35">
      <c r="A92" s="205">
        <v>88</v>
      </c>
      <c r="B92" s="192">
        <v>46130</v>
      </c>
      <c r="C92" s="192">
        <v>46131</v>
      </c>
      <c r="D92" s="193">
        <v>0.83333333333333337</v>
      </c>
      <c r="E92" s="193">
        <v>0.33333333333333331</v>
      </c>
      <c r="F92" s="208">
        <v>198000</v>
      </c>
      <c r="G92" s="195">
        <f t="shared" si="2"/>
        <v>198000</v>
      </c>
      <c r="H92" s="196" t="s">
        <v>12</v>
      </c>
      <c r="I92" s="213">
        <v>987264225742</v>
      </c>
      <c r="J92" s="213">
        <v>926112430884309</v>
      </c>
      <c r="K92" s="201" t="s">
        <v>166</v>
      </c>
      <c r="L92" s="191" t="s">
        <v>27</v>
      </c>
      <c r="M92" s="201" t="s">
        <v>21</v>
      </c>
    </row>
    <row r="93" spans="1:13" x14ac:dyDescent="0.35">
      <c r="A93" s="205">
        <v>89</v>
      </c>
      <c r="B93" s="192">
        <v>46130</v>
      </c>
      <c r="C93" s="192">
        <v>46131</v>
      </c>
      <c r="D93" s="193">
        <v>0.83333333333333337</v>
      </c>
      <c r="E93" s="193">
        <v>0.33333333333333331</v>
      </c>
      <c r="F93" s="208">
        <v>443000</v>
      </c>
      <c r="G93" s="195">
        <f t="shared" si="2"/>
        <v>443000</v>
      </c>
      <c r="H93" s="196" t="s">
        <v>12</v>
      </c>
      <c r="I93" s="213">
        <v>987264225742</v>
      </c>
      <c r="J93" s="213">
        <v>926112430884309</v>
      </c>
      <c r="K93" s="201" t="s">
        <v>15</v>
      </c>
      <c r="L93" s="191" t="s">
        <v>27</v>
      </c>
      <c r="M93" s="201" t="s">
        <v>13</v>
      </c>
    </row>
    <row r="94" spans="1:13" x14ac:dyDescent="0.35">
      <c r="A94" s="206">
        <v>90</v>
      </c>
      <c r="B94" s="173">
        <v>46130</v>
      </c>
      <c r="C94" s="173">
        <v>46130</v>
      </c>
      <c r="D94" s="207">
        <v>0.20833333333333334</v>
      </c>
      <c r="E94" s="207">
        <v>0.91666666666666663</v>
      </c>
      <c r="F94" s="209">
        <v>53000</v>
      </c>
      <c r="G94" s="174">
        <f t="shared" si="2"/>
        <v>53000</v>
      </c>
      <c r="H94" s="175" t="s">
        <v>12</v>
      </c>
      <c r="I94" s="214">
        <v>987264311943</v>
      </c>
      <c r="J94" s="179" t="s">
        <v>27</v>
      </c>
      <c r="K94" s="180" t="s">
        <v>160</v>
      </c>
      <c r="L94" s="179" t="s">
        <v>45</v>
      </c>
      <c r="M94" s="180" t="s">
        <v>158</v>
      </c>
    </row>
    <row r="95" spans="1:13" x14ac:dyDescent="0.35">
      <c r="A95" s="205">
        <v>91</v>
      </c>
      <c r="B95" s="192">
        <v>46131</v>
      </c>
      <c r="C95" s="192">
        <v>46131</v>
      </c>
      <c r="D95" s="193">
        <v>0.33333333333333331</v>
      </c>
      <c r="E95" s="193">
        <v>0.83333333333333337</v>
      </c>
      <c r="F95" s="208">
        <v>418000</v>
      </c>
      <c r="G95" s="195">
        <f t="shared" si="2"/>
        <v>418000</v>
      </c>
      <c r="H95" s="196" t="s">
        <v>12</v>
      </c>
      <c r="I95" s="213">
        <v>987264225782</v>
      </c>
      <c r="J95" s="213">
        <v>926112430885874</v>
      </c>
      <c r="K95" s="201" t="s">
        <v>19</v>
      </c>
      <c r="L95" s="191" t="s">
        <v>27</v>
      </c>
      <c r="M95" s="201" t="s">
        <v>21</v>
      </c>
    </row>
    <row r="96" spans="1:13" x14ac:dyDescent="0.35">
      <c r="A96" s="205">
        <v>92</v>
      </c>
      <c r="B96" s="192">
        <v>46131</v>
      </c>
      <c r="C96" s="192">
        <v>46131</v>
      </c>
      <c r="D96" s="193">
        <v>0.33333333333333331</v>
      </c>
      <c r="E96" s="193">
        <v>0.83333333333333337</v>
      </c>
      <c r="F96" s="208">
        <v>1632000</v>
      </c>
      <c r="G96" s="195">
        <f t="shared" si="2"/>
        <v>1632000</v>
      </c>
      <c r="H96" s="196" t="s">
        <v>12</v>
      </c>
      <c r="I96" s="213">
        <v>987264225782</v>
      </c>
      <c r="J96" s="213">
        <v>926112430885874</v>
      </c>
      <c r="K96" s="201" t="s">
        <v>20</v>
      </c>
      <c r="L96" s="191" t="s">
        <v>27</v>
      </c>
      <c r="M96" s="201" t="s">
        <v>13</v>
      </c>
    </row>
    <row r="97" spans="1:13" x14ac:dyDescent="0.35">
      <c r="A97" s="205">
        <v>93</v>
      </c>
      <c r="B97" s="192">
        <v>46131</v>
      </c>
      <c r="C97" s="192">
        <v>46132</v>
      </c>
      <c r="D97" s="193">
        <v>0.83333333333333337</v>
      </c>
      <c r="E97" s="193">
        <v>0.33333333333333331</v>
      </c>
      <c r="F97" s="208">
        <v>395000</v>
      </c>
      <c r="G97" s="195">
        <f t="shared" si="2"/>
        <v>395000</v>
      </c>
      <c r="H97" s="196" t="s">
        <v>12</v>
      </c>
      <c r="I97" s="213">
        <v>987264225782</v>
      </c>
      <c r="J97" s="213">
        <v>926112430885874</v>
      </c>
      <c r="K97" s="201" t="s">
        <v>25</v>
      </c>
      <c r="L97" s="191" t="s">
        <v>27</v>
      </c>
      <c r="M97" s="201" t="s">
        <v>21</v>
      </c>
    </row>
    <row r="98" spans="1:13" x14ac:dyDescent="0.35">
      <c r="A98" s="205">
        <v>94</v>
      </c>
      <c r="B98" s="192">
        <v>46131</v>
      </c>
      <c r="C98" s="192">
        <v>46132</v>
      </c>
      <c r="D98" s="193">
        <v>0.83333333333333337</v>
      </c>
      <c r="E98" s="193">
        <v>0.33333333333333331</v>
      </c>
      <c r="F98" s="208">
        <v>507000</v>
      </c>
      <c r="G98" s="195">
        <f t="shared" si="2"/>
        <v>507000</v>
      </c>
      <c r="H98" s="196" t="s">
        <v>12</v>
      </c>
      <c r="I98" s="213">
        <v>987264225782</v>
      </c>
      <c r="J98" s="213">
        <v>926112430885874</v>
      </c>
      <c r="K98" s="201" t="s">
        <v>24</v>
      </c>
      <c r="L98" s="191" t="s">
        <v>27</v>
      </c>
      <c r="M98" s="201" t="s">
        <v>13</v>
      </c>
    </row>
    <row r="99" spans="1:13" x14ac:dyDescent="0.35">
      <c r="A99" s="206">
        <v>95</v>
      </c>
      <c r="B99" s="173">
        <v>46131</v>
      </c>
      <c r="C99" s="173">
        <v>46131</v>
      </c>
      <c r="D99" s="207">
        <v>0.20833333333333334</v>
      </c>
      <c r="E99" s="207">
        <v>0.91666666666666663</v>
      </c>
      <c r="F99" s="209">
        <v>64000</v>
      </c>
      <c r="G99" s="174">
        <f t="shared" si="2"/>
        <v>64000</v>
      </c>
      <c r="H99" s="175" t="s">
        <v>12</v>
      </c>
      <c r="I99" s="179" t="s">
        <v>45</v>
      </c>
      <c r="J99" s="179" t="s">
        <v>153</v>
      </c>
      <c r="K99" s="180" t="s">
        <v>157</v>
      </c>
      <c r="L99" s="179" t="s">
        <v>45</v>
      </c>
      <c r="M99" s="180" t="s">
        <v>158</v>
      </c>
    </row>
    <row r="100" spans="1:13" x14ac:dyDescent="0.35">
      <c r="A100" s="205">
        <v>96</v>
      </c>
      <c r="B100" s="192">
        <v>46132</v>
      </c>
      <c r="C100" s="192">
        <v>46132</v>
      </c>
      <c r="D100" s="193">
        <v>0.33333333333333331</v>
      </c>
      <c r="E100" s="193">
        <v>0.83333333333333337</v>
      </c>
      <c r="F100" s="208">
        <v>417000</v>
      </c>
      <c r="G100" s="195">
        <f t="shared" si="2"/>
        <v>417000</v>
      </c>
      <c r="H100" s="196" t="s">
        <v>12</v>
      </c>
      <c r="I100" s="213">
        <v>987264225893</v>
      </c>
      <c r="J100" s="213">
        <v>926114431508626</v>
      </c>
      <c r="K100" s="201" t="s">
        <v>19</v>
      </c>
      <c r="L100" s="191" t="s">
        <v>27</v>
      </c>
      <c r="M100" s="201" t="s">
        <v>21</v>
      </c>
    </row>
    <row r="101" spans="1:13" x14ac:dyDescent="0.35">
      <c r="A101" s="205">
        <v>97</v>
      </c>
      <c r="B101" s="192">
        <v>46132</v>
      </c>
      <c r="C101" s="192">
        <v>46132</v>
      </c>
      <c r="D101" s="193">
        <v>0.33333333333333331</v>
      </c>
      <c r="E101" s="193">
        <v>0.83333333333333337</v>
      </c>
      <c r="F101" s="208">
        <v>1337000</v>
      </c>
      <c r="G101" s="195">
        <f t="shared" si="2"/>
        <v>1337000</v>
      </c>
      <c r="H101" s="196" t="s">
        <v>12</v>
      </c>
      <c r="I101" s="213">
        <v>987264225893</v>
      </c>
      <c r="J101" s="213">
        <v>926114431508626</v>
      </c>
      <c r="K101" s="201" t="s">
        <v>20</v>
      </c>
      <c r="L101" s="191" t="s">
        <v>27</v>
      </c>
      <c r="M101" s="201" t="s">
        <v>13</v>
      </c>
    </row>
    <row r="102" spans="1:13" x14ac:dyDescent="0.35">
      <c r="A102" s="205">
        <v>98</v>
      </c>
      <c r="B102" s="192">
        <v>46132</v>
      </c>
      <c r="C102" s="192">
        <v>46133</v>
      </c>
      <c r="D102" s="193">
        <v>0.83333333333333337</v>
      </c>
      <c r="E102" s="193">
        <v>0.33333333333333331</v>
      </c>
      <c r="F102" s="208">
        <v>390000</v>
      </c>
      <c r="G102" s="195">
        <f t="shared" si="2"/>
        <v>390000</v>
      </c>
      <c r="H102" s="196" t="s">
        <v>12</v>
      </c>
      <c r="I102" s="213">
        <v>987264225893</v>
      </c>
      <c r="J102" s="213">
        <v>926114431508626</v>
      </c>
      <c r="K102" s="201" t="s">
        <v>25</v>
      </c>
      <c r="L102" s="191" t="s">
        <v>27</v>
      </c>
      <c r="M102" s="201" t="s">
        <v>21</v>
      </c>
    </row>
    <row r="103" spans="1:13" x14ac:dyDescent="0.35">
      <c r="A103" s="205">
        <v>99</v>
      </c>
      <c r="B103" s="192">
        <v>46132</v>
      </c>
      <c r="C103" s="192">
        <v>46133</v>
      </c>
      <c r="D103" s="193">
        <v>0.83333333333333337</v>
      </c>
      <c r="E103" s="193">
        <v>0.33333333333333331</v>
      </c>
      <c r="F103" s="208">
        <v>376000</v>
      </c>
      <c r="G103" s="195">
        <f t="shared" si="2"/>
        <v>376000</v>
      </c>
      <c r="H103" s="196" t="s">
        <v>12</v>
      </c>
      <c r="I103" s="213">
        <v>987264225893</v>
      </c>
      <c r="J103" s="213">
        <v>926114431508626</v>
      </c>
      <c r="K103" s="201" t="s">
        <v>24</v>
      </c>
      <c r="L103" s="191" t="s">
        <v>27</v>
      </c>
      <c r="M103" s="201" t="s">
        <v>13</v>
      </c>
    </row>
    <row r="104" spans="1:13" x14ac:dyDescent="0.35">
      <c r="A104" s="206">
        <v>100</v>
      </c>
      <c r="B104" s="173">
        <v>46132</v>
      </c>
      <c r="C104" s="173">
        <v>46132</v>
      </c>
      <c r="D104" s="207">
        <v>0.20833333333333334</v>
      </c>
      <c r="E104" s="207">
        <v>0.91666666666666663</v>
      </c>
      <c r="F104" s="209">
        <v>90000</v>
      </c>
      <c r="G104" s="174">
        <f t="shared" si="2"/>
        <v>90000</v>
      </c>
      <c r="H104" s="175" t="s">
        <v>12</v>
      </c>
      <c r="I104" s="214">
        <v>987264323393</v>
      </c>
      <c r="J104" s="214">
        <v>926120433971224</v>
      </c>
      <c r="K104" s="180" t="s">
        <v>163</v>
      </c>
      <c r="L104" s="179" t="s">
        <v>27</v>
      </c>
      <c r="M104" s="180" t="s">
        <v>158</v>
      </c>
    </row>
    <row r="105" spans="1:13" x14ac:dyDescent="0.35">
      <c r="A105" s="205">
        <v>101</v>
      </c>
      <c r="B105" s="192">
        <v>46133</v>
      </c>
      <c r="C105" s="192">
        <v>46133</v>
      </c>
      <c r="D105" s="193">
        <v>0.33333333333333331</v>
      </c>
      <c r="E105" s="193">
        <v>0.83333333333333337</v>
      </c>
      <c r="F105" s="208">
        <v>436000</v>
      </c>
      <c r="G105" s="195">
        <f t="shared" si="2"/>
        <v>436000</v>
      </c>
      <c r="H105" s="196" t="s">
        <v>12</v>
      </c>
      <c r="I105" s="213">
        <v>987264247937</v>
      </c>
      <c r="J105" s="213">
        <v>926115431829324</v>
      </c>
      <c r="K105" s="201" t="s">
        <v>166</v>
      </c>
      <c r="L105" s="191" t="s">
        <v>27</v>
      </c>
      <c r="M105" s="201" t="s">
        <v>21</v>
      </c>
    </row>
    <row r="106" spans="1:13" x14ac:dyDescent="0.35">
      <c r="A106" s="205">
        <v>102</v>
      </c>
      <c r="B106" s="192">
        <v>46133</v>
      </c>
      <c r="C106" s="192">
        <v>46133</v>
      </c>
      <c r="D106" s="193">
        <v>0.33333333333333331</v>
      </c>
      <c r="E106" s="193">
        <v>0.83333333333333337</v>
      </c>
      <c r="F106" s="208">
        <v>1034000</v>
      </c>
      <c r="G106" s="195">
        <f t="shared" si="2"/>
        <v>1034000</v>
      </c>
      <c r="H106" s="196" t="s">
        <v>12</v>
      </c>
      <c r="I106" s="213">
        <v>987264247937</v>
      </c>
      <c r="J106" s="213">
        <v>926115431829324</v>
      </c>
      <c r="K106" s="201" t="s">
        <v>15</v>
      </c>
      <c r="L106" s="191" t="s">
        <v>27</v>
      </c>
      <c r="M106" s="201" t="s">
        <v>13</v>
      </c>
    </row>
    <row r="107" spans="1:13" x14ac:dyDescent="0.35">
      <c r="A107" s="205">
        <v>103</v>
      </c>
      <c r="B107" s="192">
        <v>46133</v>
      </c>
      <c r="C107" s="192">
        <v>46134</v>
      </c>
      <c r="D107" s="193">
        <v>0.83333333333333337</v>
      </c>
      <c r="E107" s="193">
        <v>0.33333333333333331</v>
      </c>
      <c r="F107" s="208">
        <v>168000</v>
      </c>
      <c r="G107" s="195">
        <f t="shared" si="2"/>
        <v>168000</v>
      </c>
      <c r="H107" s="196" t="s">
        <v>12</v>
      </c>
      <c r="I107" s="213">
        <v>987264247937</v>
      </c>
      <c r="J107" s="213">
        <v>926115431829324</v>
      </c>
      <c r="K107" s="201" t="s">
        <v>19</v>
      </c>
      <c r="L107" s="191" t="s">
        <v>27</v>
      </c>
      <c r="M107" s="201" t="s">
        <v>21</v>
      </c>
    </row>
    <row r="108" spans="1:13" x14ac:dyDescent="0.35">
      <c r="A108" s="205">
        <v>104</v>
      </c>
      <c r="B108" s="192">
        <v>46133</v>
      </c>
      <c r="C108" s="192">
        <v>46134</v>
      </c>
      <c r="D108" s="193">
        <v>0.83333333333333337</v>
      </c>
      <c r="E108" s="193">
        <v>0.33333333333333331</v>
      </c>
      <c r="F108" s="208">
        <v>441000</v>
      </c>
      <c r="G108" s="195">
        <f t="shared" si="2"/>
        <v>441000</v>
      </c>
      <c r="H108" s="196" t="s">
        <v>12</v>
      </c>
      <c r="I108" s="213">
        <v>987264247937</v>
      </c>
      <c r="J108" s="213">
        <v>926115431829324</v>
      </c>
      <c r="K108" s="201" t="s">
        <v>20</v>
      </c>
      <c r="L108" s="191" t="s">
        <v>27</v>
      </c>
      <c r="M108" s="201" t="s">
        <v>13</v>
      </c>
    </row>
    <row r="109" spans="1:13" x14ac:dyDescent="0.35">
      <c r="A109" s="206">
        <v>105</v>
      </c>
      <c r="B109" s="173">
        <v>46133</v>
      </c>
      <c r="C109" s="173">
        <v>46133</v>
      </c>
      <c r="D109" s="207">
        <v>0.20833333333333334</v>
      </c>
      <c r="E109" s="207">
        <v>0.91666666666666663</v>
      </c>
      <c r="F109" s="209">
        <v>45000</v>
      </c>
      <c r="G109" s="174">
        <f t="shared" si="2"/>
        <v>45000</v>
      </c>
      <c r="H109" s="175" t="s">
        <v>12</v>
      </c>
      <c r="I109" s="179" t="s">
        <v>45</v>
      </c>
      <c r="J109" s="179" t="s">
        <v>153</v>
      </c>
      <c r="K109" s="180" t="s">
        <v>157</v>
      </c>
      <c r="L109" s="179" t="s">
        <v>45</v>
      </c>
      <c r="M109" s="180" t="s">
        <v>158</v>
      </c>
    </row>
    <row r="110" spans="1:13" x14ac:dyDescent="0.35">
      <c r="A110" s="205">
        <v>106</v>
      </c>
      <c r="B110" s="192">
        <v>46134</v>
      </c>
      <c r="C110" s="192">
        <v>46134</v>
      </c>
      <c r="D110" s="193">
        <v>0.33333333333333331</v>
      </c>
      <c r="E110" s="193">
        <v>0.83333333333333337</v>
      </c>
      <c r="F110" s="208">
        <v>428000</v>
      </c>
      <c r="G110" s="195">
        <f t="shared" si="2"/>
        <v>428000</v>
      </c>
      <c r="H110" s="196" t="s">
        <v>12</v>
      </c>
      <c r="I110" s="213">
        <v>987264285866</v>
      </c>
      <c r="J110" s="213">
        <v>926117432370101</v>
      </c>
      <c r="K110" s="201" t="s">
        <v>166</v>
      </c>
      <c r="L110" s="191" t="s">
        <v>27</v>
      </c>
      <c r="M110" s="201" t="s">
        <v>21</v>
      </c>
    </row>
    <row r="111" spans="1:13" x14ac:dyDescent="0.35">
      <c r="A111" s="205">
        <v>107</v>
      </c>
      <c r="B111" s="192">
        <v>46134</v>
      </c>
      <c r="C111" s="192">
        <v>46134</v>
      </c>
      <c r="D111" s="193">
        <v>0.33333333333333331</v>
      </c>
      <c r="E111" s="193">
        <v>0.83333333333333337</v>
      </c>
      <c r="F111" s="208">
        <v>1080000</v>
      </c>
      <c r="G111" s="195">
        <f t="shared" si="2"/>
        <v>1080000</v>
      </c>
      <c r="H111" s="196" t="s">
        <v>12</v>
      </c>
      <c r="I111" s="213">
        <v>987264285866</v>
      </c>
      <c r="J111" s="213">
        <v>926117432370101</v>
      </c>
      <c r="K111" s="201" t="s">
        <v>15</v>
      </c>
      <c r="L111" s="191" t="s">
        <v>27</v>
      </c>
      <c r="M111" s="201" t="s">
        <v>13</v>
      </c>
    </row>
    <row r="112" spans="1:13" x14ac:dyDescent="0.35">
      <c r="A112" s="205">
        <v>108</v>
      </c>
      <c r="B112" s="192">
        <v>46134</v>
      </c>
      <c r="C112" s="192">
        <v>46135</v>
      </c>
      <c r="D112" s="193">
        <v>0.83333333333333337</v>
      </c>
      <c r="E112" s="193">
        <v>0.33333333333333331</v>
      </c>
      <c r="F112" s="208">
        <v>99000</v>
      </c>
      <c r="G112" s="195">
        <f t="shared" si="2"/>
        <v>99000</v>
      </c>
      <c r="H112" s="196" t="s">
        <v>12</v>
      </c>
      <c r="I112" s="213">
        <v>987264285866</v>
      </c>
      <c r="J112" s="213">
        <v>926117432370101</v>
      </c>
      <c r="K112" s="201" t="s">
        <v>19</v>
      </c>
      <c r="L112" s="191" t="s">
        <v>27</v>
      </c>
      <c r="M112" s="201" t="s">
        <v>168</v>
      </c>
    </row>
    <row r="113" spans="1:13" x14ac:dyDescent="0.35">
      <c r="A113" s="205">
        <v>109</v>
      </c>
      <c r="B113" s="192">
        <v>46134</v>
      </c>
      <c r="C113" s="192">
        <v>46135</v>
      </c>
      <c r="D113" s="193">
        <v>0.83333333333333337</v>
      </c>
      <c r="E113" s="193">
        <v>0.33333333333333331</v>
      </c>
      <c r="F113" s="208">
        <v>585000</v>
      </c>
      <c r="G113" s="195">
        <f t="shared" si="2"/>
        <v>585000</v>
      </c>
      <c r="H113" s="196" t="s">
        <v>12</v>
      </c>
      <c r="I113" s="213">
        <v>987264285866</v>
      </c>
      <c r="J113" s="213">
        <v>926117432370101</v>
      </c>
      <c r="K113" s="201" t="s">
        <v>20</v>
      </c>
      <c r="L113" s="191" t="s">
        <v>27</v>
      </c>
      <c r="M113" s="201" t="s">
        <v>13</v>
      </c>
    </row>
    <row r="114" spans="1:13" x14ac:dyDescent="0.35">
      <c r="A114" s="206">
        <v>110</v>
      </c>
      <c r="B114" s="173">
        <v>46134</v>
      </c>
      <c r="C114" s="173">
        <v>46134</v>
      </c>
      <c r="D114" s="207">
        <v>0.20833333333333334</v>
      </c>
      <c r="E114" s="207">
        <v>0.91666666666666663</v>
      </c>
      <c r="F114" s="209">
        <v>40000</v>
      </c>
      <c r="G114" s="174">
        <f t="shared" si="2"/>
        <v>40000</v>
      </c>
      <c r="H114" s="175" t="s">
        <v>12</v>
      </c>
      <c r="I114" s="214">
        <v>987264323401</v>
      </c>
      <c r="J114" s="214">
        <v>926120433971591</v>
      </c>
      <c r="K114" s="180" t="s">
        <v>157</v>
      </c>
      <c r="L114" s="179" t="s">
        <v>27</v>
      </c>
      <c r="M114" s="180" t="s">
        <v>158</v>
      </c>
    </row>
    <row r="115" spans="1:13" x14ac:dyDescent="0.35">
      <c r="A115" s="205">
        <v>111</v>
      </c>
      <c r="B115" s="192">
        <v>46135</v>
      </c>
      <c r="C115" s="192">
        <v>46135</v>
      </c>
      <c r="D115" s="193">
        <v>0.33333333333333331</v>
      </c>
      <c r="E115" s="193">
        <v>0.83333333333333337</v>
      </c>
      <c r="F115" s="208">
        <v>610000</v>
      </c>
      <c r="G115" s="195">
        <f t="shared" si="2"/>
        <v>610000</v>
      </c>
      <c r="H115" s="196" t="s">
        <v>12</v>
      </c>
      <c r="I115" s="213">
        <v>987264285970</v>
      </c>
      <c r="J115" s="213">
        <v>926117432369780</v>
      </c>
      <c r="K115" s="201" t="s">
        <v>25</v>
      </c>
      <c r="L115" s="191" t="s">
        <v>27</v>
      </c>
      <c r="M115" s="201" t="s">
        <v>21</v>
      </c>
    </row>
    <row r="116" spans="1:13" x14ac:dyDescent="0.35">
      <c r="A116" s="205">
        <v>112</v>
      </c>
      <c r="B116" s="192">
        <v>46135</v>
      </c>
      <c r="C116" s="192">
        <v>46135</v>
      </c>
      <c r="D116" s="193">
        <v>0.33333333333333331</v>
      </c>
      <c r="E116" s="193">
        <v>0.83333333333333337</v>
      </c>
      <c r="F116" s="208">
        <v>1090000</v>
      </c>
      <c r="G116" s="195">
        <f t="shared" si="2"/>
        <v>1090000</v>
      </c>
      <c r="H116" s="196" t="s">
        <v>12</v>
      </c>
      <c r="I116" s="213">
        <v>987264285970</v>
      </c>
      <c r="J116" s="213">
        <v>926117432369780</v>
      </c>
      <c r="K116" s="201" t="s">
        <v>24</v>
      </c>
      <c r="L116" s="191" t="s">
        <v>27</v>
      </c>
      <c r="M116" s="201" t="s">
        <v>13</v>
      </c>
    </row>
    <row r="117" spans="1:13" x14ac:dyDescent="0.35">
      <c r="A117" s="205">
        <v>113</v>
      </c>
      <c r="B117" s="192">
        <v>46135</v>
      </c>
      <c r="C117" s="192">
        <v>46136</v>
      </c>
      <c r="D117" s="193">
        <v>0.83333333333333337</v>
      </c>
      <c r="E117" s="193">
        <v>0.33333333333333331</v>
      </c>
      <c r="F117" s="208">
        <v>245000</v>
      </c>
      <c r="G117" s="195">
        <f t="shared" si="2"/>
        <v>245000</v>
      </c>
      <c r="H117" s="196" t="s">
        <v>12</v>
      </c>
      <c r="I117" s="213">
        <v>987264285970</v>
      </c>
      <c r="J117" s="213">
        <v>926117432369780</v>
      </c>
      <c r="K117" s="201" t="s">
        <v>166</v>
      </c>
      <c r="L117" s="191" t="s">
        <v>27</v>
      </c>
      <c r="M117" s="201" t="s">
        <v>21</v>
      </c>
    </row>
    <row r="118" spans="1:13" x14ac:dyDescent="0.35">
      <c r="A118" s="205">
        <v>114</v>
      </c>
      <c r="B118" s="192">
        <v>46135</v>
      </c>
      <c r="C118" s="192">
        <v>46136</v>
      </c>
      <c r="D118" s="193">
        <v>0.83333333333333337</v>
      </c>
      <c r="E118" s="193">
        <v>0.33333333333333331</v>
      </c>
      <c r="F118" s="208">
        <v>471000</v>
      </c>
      <c r="G118" s="195">
        <f t="shared" si="2"/>
        <v>471000</v>
      </c>
      <c r="H118" s="196" t="s">
        <v>12</v>
      </c>
      <c r="I118" s="213">
        <v>987264285970</v>
      </c>
      <c r="J118" s="213">
        <v>926117432369780</v>
      </c>
      <c r="K118" s="201" t="s">
        <v>15</v>
      </c>
      <c r="L118" s="191" t="s">
        <v>27</v>
      </c>
      <c r="M118" s="201" t="s">
        <v>13</v>
      </c>
    </row>
    <row r="119" spans="1:13" x14ac:dyDescent="0.35">
      <c r="A119" s="206">
        <v>115</v>
      </c>
      <c r="B119" s="173">
        <v>46135</v>
      </c>
      <c r="C119" s="173">
        <v>46135</v>
      </c>
      <c r="D119" s="207">
        <v>0.20833333333333334</v>
      </c>
      <c r="E119" s="207">
        <v>0.91666666666666663</v>
      </c>
      <c r="F119" s="209">
        <v>41000</v>
      </c>
      <c r="G119" s="174">
        <f t="shared" si="2"/>
        <v>41000</v>
      </c>
      <c r="H119" s="175" t="s">
        <v>12</v>
      </c>
      <c r="I119" s="214">
        <v>987264398905</v>
      </c>
      <c r="J119" s="214">
        <v>926129436232270</v>
      </c>
      <c r="K119" s="180" t="s">
        <v>163</v>
      </c>
      <c r="L119" s="179" t="s">
        <v>27</v>
      </c>
      <c r="M119" s="180" t="s">
        <v>158</v>
      </c>
    </row>
    <row r="120" spans="1:13" x14ac:dyDescent="0.35">
      <c r="A120" s="205">
        <v>116</v>
      </c>
      <c r="B120" s="192">
        <v>46136</v>
      </c>
      <c r="C120" s="192">
        <v>46136</v>
      </c>
      <c r="D120" s="193">
        <v>0.33333333333333331</v>
      </c>
      <c r="E120" s="193">
        <v>0.83333333333333337</v>
      </c>
      <c r="F120" s="208">
        <v>463000</v>
      </c>
      <c r="G120" s="195">
        <f t="shared" si="2"/>
        <v>463000</v>
      </c>
      <c r="H120" s="196" t="s">
        <v>12</v>
      </c>
      <c r="I120" s="213">
        <v>987264285992</v>
      </c>
      <c r="J120" s="213">
        <v>926117432368984</v>
      </c>
      <c r="K120" s="201" t="s">
        <v>167</v>
      </c>
      <c r="L120" s="191" t="s">
        <v>27</v>
      </c>
      <c r="M120" s="201" t="s">
        <v>21</v>
      </c>
    </row>
    <row r="121" spans="1:13" x14ac:dyDescent="0.35">
      <c r="A121" s="205">
        <v>117</v>
      </c>
      <c r="B121" s="192">
        <v>46136</v>
      </c>
      <c r="C121" s="192">
        <v>46136</v>
      </c>
      <c r="D121" s="193">
        <v>0.33333333333333331</v>
      </c>
      <c r="E121" s="193">
        <v>0.83333333333333337</v>
      </c>
      <c r="F121" s="208">
        <v>1249000</v>
      </c>
      <c r="G121" s="195">
        <f t="shared" si="2"/>
        <v>1249000</v>
      </c>
      <c r="H121" s="196" t="s">
        <v>12</v>
      </c>
      <c r="I121" s="213">
        <v>987264285992</v>
      </c>
      <c r="J121" s="213">
        <v>926117432368984</v>
      </c>
      <c r="K121" s="201" t="s">
        <v>24</v>
      </c>
      <c r="L121" s="191" t="s">
        <v>27</v>
      </c>
      <c r="M121" s="201" t="s">
        <v>13</v>
      </c>
    </row>
    <row r="122" spans="1:13" x14ac:dyDescent="0.35">
      <c r="A122" s="205">
        <v>118</v>
      </c>
      <c r="B122" s="192">
        <v>46136</v>
      </c>
      <c r="C122" s="192">
        <v>46137</v>
      </c>
      <c r="D122" s="193">
        <v>0.83333333333333337</v>
      </c>
      <c r="E122" s="193">
        <v>0.33333333333333331</v>
      </c>
      <c r="F122" s="208">
        <v>268000</v>
      </c>
      <c r="G122" s="195">
        <f t="shared" si="2"/>
        <v>268000</v>
      </c>
      <c r="H122" s="196" t="s">
        <v>12</v>
      </c>
      <c r="I122" s="213">
        <v>987264286057</v>
      </c>
      <c r="J122" s="213">
        <v>926117432369358</v>
      </c>
      <c r="K122" s="201" t="s">
        <v>166</v>
      </c>
      <c r="L122" s="191" t="s">
        <v>27</v>
      </c>
      <c r="M122" s="201" t="s">
        <v>21</v>
      </c>
    </row>
    <row r="123" spans="1:13" x14ac:dyDescent="0.35">
      <c r="A123" s="205">
        <v>119</v>
      </c>
      <c r="B123" s="192">
        <v>46136</v>
      </c>
      <c r="C123" s="192">
        <v>46137</v>
      </c>
      <c r="D123" s="193">
        <v>0.83333333333333337</v>
      </c>
      <c r="E123" s="193">
        <v>0.33333333333333331</v>
      </c>
      <c r="F123" s="208">
        <v>323000</v>
      </c>
      <c r="G123" s="195">
        <f t="shared" si="2"/>
        <v>323000</v>
      </c>
      <c r="H123" s="196" t="s">
        <v>12</v>
      </c>
      <c r="I123" s="213">
        <v>987264286057</v>
      </c>
      <c r="J123" s="213">
        <v>926117432369358</v>
      </c>
      <c r="K123" s="201" t="s">
        <v>15</v>
      </c>
      <c r="L123" s="191" t="s">
        <v>27</v>
      </c>
      <c r="M123" s="201" t="s">
        <v>13</v>
      </c>
    </row>
    <row r="124" spans="1:13" x14ac:dyDescent="0.35">
      <c r="A124" s="206">
        <v>120</v>
      </c>
      <c r="B124" s="173">
        <v>46136</v>
      </c>
      <c r="C124" s="173">
        <v>46136</v>
      </c>
      <c r="D124" s="207">
        <v>0.20833333333333334</v>
      </c>
      <c r="E124" s="207">
        <v>0.91666666666666663</v>
      </c>
      <c r="F124" s="209">
        <v>51000</v>
      </c>
      <c r="G124" s="174">
        <f t="shared" si="2"/>
        <v>51000</v>
      </c>
      <c r="H124" s="175" t="s">
        <v>12</v>
      </c>
      <c r="I124" s="214">
        <v>987264398883</v>
      </c>
      <c r="J124" s="214">
        <v>926129436232244</v>
      </c>
      <c r="K124" s="180" t="s">
        <v>163</v>
      </c>
      <c r="L124" s="179" t="s">
        <v>27</v>
      </c>
      <c r="M124" s="180" t="s">
        <v>158</v>
      </c>
    </row>
    <row r="125" spans="1:13" x14ac:dyDescent="0.35">
      <c r="A125" s="205">
        <v>121</v>
      </c>
      <c r="B125" s="192">
        <v>46137</v>
      </c>
      <c r="C125" s="192">
        <v>46137</v>
      </c>
      <c r="D125" s="193">
        <v>0.33333333333333331</v>
      </c>
      <c r="E125" s="193">
        <v>0.83333333333333337</v>
      </c>
      <c r="F125" s="208">
        <v>393000</v>
      </c>
      <c r="G125" s="195">
        <f t="shared" si="2"/>
        <v>393000</v>
      </c>
      <c r="H125" s="196" t="s">
        <v>12</v>
      </c>
      <c r="I125" s="213">
        <v>987264286007</v>
      </c>
      <c r="J125" s="213">
        <v>926117432368644</v>
      </c>
      <c r="K125" s="201" t="s">
        <v>19</v>
      </c>
      <c r="L125" s="191" t="s">
        <v>27</v>
      </c>
      <c r="M125" s="201" t="s">
        <v>21</v>
      </c>
    </row>
    <row r="126" spans="1:13" x14ac:dyDescent="0.35">
      <c r="A126" s="205">
        <v>122</v>
      </c>
      <c r="B126" s="192">
        <v>46137</v>
      </c>
      <c r="C126" s="192">
        <v>46137</v>
      </c>
      <c r="D126" s="193">
        <v>0.33333333333333331</v>
      </c>
      <c r="E126" s="193">
        <v>0.83333333333333337</v>
      </c>
      <c r="F126" s="208">
        <v>993000</v>
      </c>
      <c r="G126" s="195">
        <f t="shared" si="2"/>
        <v>993000</v>
      </c>
      <c r="H126" s="196" t="s">
        <v>12</v>
      </c>
      <c r="I126" s="213">
        <v>987264286007</v>
      </c>
      <c r="J126" s="213">
        <v>926117432368644</v>
      </c>
      <c r="K126" s="201" t="s">
        <v>20</v>
      </c>
      <c r="L126" s="191" t="s">
        <v>27</v>
      </c>
      <c r="M126" s="201" t="s">
        <v>13</v>
      </c>
    </row>
    <row r="127" spans="1:13" x14ac:dyDescent="0.35">
      <c r="A127" s="205">
        <v>123</v>
      </c>
      <c r="B127" s="192">
        <v>46137</v>
      </c>
      <c r="C127" s="192">
        <v>46138</v>
      </c>
      <c r="D127" s="193">
        <v>0.83333333333333337</v>
      </c>
      <c r="E127" s="193">
        <v>0.33333333333333331</v>
      </c>
      <c r="F127" s="208">
        <v>278000</v>
      </c>
      <c r="G127" s="195">
        <f t="shared" si="2"/>
        <v>278000</v>
      </c>
      <c r="H127" s="196" t="s">
        <v>12</v>
      </c>
      <c r="I127" s="213">
        <v>987264286007</v>
      </c>
      <c r="J127" s="213">
        <v>926117432368644</v>
      </c>
      <c r="K127" s="201" t="s">
        <v>25</v>
      </c>
      <c r="L127" s="191" t="s">
        <v>27</v>
      </c>
      <c r="M127" s="201" t="s">
        <v>21</v>
      </c>
    </row>
    <row r="128" spans="1:13" x14ac:dyDescent="0.35">
      <c r="A128" s="205">
        <v>124</v>
      </c>
      <c r="B128" s="192">
        <v>46137</v>
      </c>
      <c r="C128" s="192">
        <v>46138</v>
      </c>
      <c r="D128" s="193">
        <v>0.83333333333333337</v>
      </c>
      <c r="E128" s="193">
        <v>0.33333333333333331</v>
      </c>
      <c r="F128" s="208">
        <v>444000</v>
      </c>
      <c r="G128" s="195">
        <f t="shared" si="2"/>
        <v>444000</v>
      </c>
      <c r="H128" s="196" t="s">
        <v>12</v>
      </c>
      <c r="I128" s="213">
        <v>987264286007</v>
      </c>
      <c r="J128" s="213">
        <v>926117432368644</v>
      </c>
      <c r="K128" s="201" t="s">
        <v>24</v>
      </c>
      <c r="L128" s="191" t="s">
        <v>27</v>
      </c>
      <c r="M128" s="201" t="s">
        <v>13</v>
      </c>
    </row>
    <row r="129" spans="1:13" x14ac:dyDescent="0.35">
      <c r="A129" s="206">
        <v>125</v>
      </c>
      <c r="B129" s="173">
        <v>46137</v>
      </c>
      <c r="C129" s="173">
        <v>46137</v>
      </c>
      <c r="D129" s="207">
        <v>0.20833333333333334</v>
      </c>
      <c r="E129" s="207">
        <v>0.91666666666666663</v>
      </c>
      <c r="F129" s="209">
        <v>60000</v>
      </c>
      <c r="G129" s="174">
        <f t="shared" si="2"/>
        <v>60000</v>
      </c>
      <c r="H129" s="175" t="s">
        <v>12</v>
      </c>
      <c r="I129" s="214">
        <v>987264398910</v>
      </c>
      <c r="J129" s="214">
        <v>926129436232647</v>
      </c>
      <c r="K129" s="180" t="s">
        <v>163</v>
      </c>
      <c r="L129" s="179" t="s">
        <v>27</v>
      </c>
      <c r="M129" s="180" t="s">
        <v>158</v>
      </c>
    </row>
    <row r="130" spans="1:13" x14ac:dyDescent="0.35">
      <c r="A130" s="205">
        <v>126</v>
      </c>
      <c r="B130" s="192">
        <v>46138</v>
      </c>
      <c r="C130" s="192">
        <v>46138</v>
      </c>
      <c r="D130" s="193">
        <v>0.33333333333333331</v>
      </c>
      <c r="E130" s="193">
        <v>0.83333333333333337</v>
      </c>
      <c r="F130" s="208">
        <v>363000</v>
      </c>
      <c r="G130" s="195">
        <f t="shared" si="2"/>
        <v>363000</v>
      </c>
      <c r="H130" s="196" t="s">
        <v>12</v>
      </c>
      <c r="I130" s="213">
        <v>987264286017</v>
      </c>
      <c r="J130" s="213">
        <v>926119432971590</v>
      </c>
      <c r="K130" s="201" t="s">
        <v>19</v>
      </c>
      <c r="L130" s="191" t="s">
        <v>27</v>
      </c>
      <c r="M130" s="201" t="s">
        <v>21</v>
      </c>
    </row>
    <row r="131" spans="1:13" x14ac:dyDescent="0.35">
      <c r="A131" s="205">
        <v>127</v>
      </c>
      <c r="B131" s="192">
        <v>46138</v>
      </c>
      <c r="C131" s="192">
        <v>46138</v>
      </c>
      <c r="D131" s="193">
        <v>0.33333333333333331</v>
      </c>
      <c r="E131" s="193">
        <v>0.83333333333333337</v>
      </c>
      <c r="F131" s="208">
        <v>1545000</v>
      </c>
      <c r="G131" s="195">
        <f t="shared" si="2"/>
        <v>1545000</v>
      </c>
      <c r="H131" s="196" t="s">
        <v>12</v>
      </c>
      <c r="I131" s="213">
        <v>987264286017</v>
      </c>
      <c r="J131" s="213">
        <v>926119432971590</v>
      </c>
      <c r="K131" s="201" t="s">
        <v>20</v>
      </c>
      <c r="L131" s="191" t="s">
        <v>27</v>
      </c>
      <c r="M131" s="201" t="s">
        <v>13</v>
      </c>
    </row>
    <row r="132" spans="1:13" x14ac:dyDescent="0.35">
      <c r="A132" s="205">
        <v>128</v>
      </c>
      <c r="B132" s="192">
        <v>46138</v>
      </c>
      <c r="C132" s="192">
        <v>46139</v>
      </c>
      <c r="D132" s="193">
        <v>0.83333333333333337</v>
      </c>
      <c r="E132" s="193">
        <v>0.33333333333333331</v>
      </c>
      <c r="F132" s="208">
        <v>221000</v>
      </c>
      <c r="G132" s="195">
        <f t="shared" si="2"/>
        <v>221000</v>
      </c>
      <c r="H132" s="196" t="s">
        <v>12</v>
      </c>
      <c r="I132" s="213">
        <v>987264286017</v>
      </c>
      <c r="J132" s="213">
        <v>926119432971590</v>
      </c>
      <c r="K132" s="201" t="s">
        <v>167</v>
      </c>
      <c r="L132" s="191" t="s">
        <v>27</v>
      </c>
      <c r="M132" s="201" t="s">
        <v>21</v>
      </c>
    </row>
    <row r="133" spans="1:13" x14ac:dyDescent="0.35">
      <c r="A133" s="205">
        <v>129</v>
      </c>
      <c r="B133" s="192">
        <v>46138</v>
      </c>
      <c r="C133" s="192">
        <v>46139</v>
      </c>
      <c r="D133" s="193">
        <v>0.83333333333333337</v>
      </c>
      <c r="E133" s="193">
        <v>0.33333333333333331</v>
      </c>
      <c r="F133" s="208">
        <v>527000</v>
      </c>
      <c r="G133" s="195">
        <f t="shared" si="2"/>
        <v>527000</v>
      </c>
      <c r="H133" s="196" t="s">
        <v>12</v>
      </c>
      <c r="I133" s="213">
        <v>987264286017</v>
      </c>
      <c r="J133" s="213">
        <v>926119432971590</v>
      </c>
      <c r="K133" s="201" t="s">
        <v>24</v>
      </c>
      <c r="L133" s="191" t="s">
        <v>27</v>
      </c>
      <c r="M133" s="201" t="s">
        <v>13</v>
      </c>
    </row>
    <row r="134" spans="1:13" x14ac:dyDescent="0.35">
      <c r="A134" s="206">
        <v>130</v>
      </c>
      <c r="B134" s="173">
        <v>46138</v>
      </c>
      <c r="C134" s="173">
        <v>46138</v>
      </c>
      <c r="D134" s="207">
        <v>0.20833333333333334</v>
      </c>
      <c r="E134" s="207">
        <v>0.91666666666666663</v>
      </c>
      <c r="F134" s="209">
        <v>63000</v>
      </c>
      <c r="G134" s="174">
        <f t="shared" si="2"/>
        <v>63000</v>
      </c>
      <c r="H134" s="175" t="s">
        <v>12</v>
      </c>
      <c r="I134" s="214">
        <v>987264398893</v>
      </c>
      <c r="J134" s="214">
        <v>926129436232740</v>
      </c>
      <c r="K134" s="180" t="s">
        <v>157</v>
      </c>
      <c r="L134" s="179" t="s">
        <v>27</v>
      </c>
      <c r="M134" s="180" t="s">
        <v>158</v>
      </c>
    </row>
    <row r="135" spans="1:13" x14ac:dyDescent="0.35">
      <c r="A135" s="205">
        <v>131</v>
      </c>
      <c r="B135" s="192">
        <v>46139</v>
      </c>
      <c r="C135" s="192">
        <v>46139</v>
      </c>
      <c r="D135" s="193">
        <v>0.33333333333333331</v>
      </c>
      <c r="E135" s="193">
        <v>0.83333333333333337</v>
      </c>
      <c r="F135" s="208">
        <v>418000</v>
      </c>
      <c r="G135" s="195">
        <f t="shared" si="2"/>
        <v>418000</v>
      </c>
      <c r="H135" s="196" t="s">
        <v>12</v>
      </c>
      <c r="I135" s="213">
        <v>987264299560</v>
      </c>
      <c r="J135" s="213">
        <v>926119433319923</v>
      </c>
      <c r="K135" s="201" t="s">
        <v>166</v>
      </c>
      <c r="L135" s="191" t="s">
        <v>27</v>
      </c>
      <c r="M135" s="201" t="s">
        <v>21</v>
      </c>
    </row>
    <row r="136" spans="1:13" x14ac:dyDescent="0.35">
      <c r="A136" s="205">
        <v>132</v>
      </c>
      <c r="B136" s="192">
        <v>46139</v>
      </c>
      <c r="C136" s="192">
        <v>46139</v>
      </c>
      <c r="D136" s="193">
        <v>0.33333333333333331</v>
      </c>
      <c r="E136" s="193">
        <v>0.83333333333333337</v>
      </c>
      <c r="F136" s="208">
        <v>1211000</v>
      </c>
      <c r="G136" s="195">
        <f t="shared" si="2"/>
        <v>1211000</v>
      </c>
      <c r="H136" s="196" t="s">
        <v>12</v>
      </c>
      <c r="I136" s="213">
        <v>987264299560</v>
      </c>
      <c r="J136" s="213">
        <v>926119433319923</v>
      </c>
      <c r="K136" s="201" t="s">
        <v>15</v>
      </c>
      <c r="L136" s="191" t="s">
        <v>27</v>
      </c>
      <c r="M136" s="201" t="s">
        <v>13</v>
      </c>
    </row>
    <row r="137" spans="1:13" x14ac:dyDescent="0.35">
      <c r="A137" s="205">
        <v>133</v>
      </c>
      <c r="B137" s="192">
        <v>46139</v>
      </c>
      <c r="C137" s="192">
        <v>46140</v>
      </c>
      <c r="D137" s="193">
        <v>0.83333333333333337</v>
      </c>
      <c r="E137" s="193">
        <v>0.33333333333333331</v>
      </c>
      <c r="F137" s="208">
        <v>99000</v>
      </c>
      <c r="G137" s="195">
        <f t="shared" si="2"/>
        <v>99000</v>
      </c>
      <c r="H137" s="196" t="s">
        <v>12</v>
      </c>
      <c r="I137" s="213">
        <v>987264299560</v>
      </c>
      <c r="J137" s="213">
        <v>926119433319923</v>
      </c>
      <c r="K137" s="201" t="s">
        <v>19</v>
      </c>
      <c r="L137" s="191" t="s">
        <v>27</v>
      </c>
      <c r="M137" s="201" t="s">
        <v>21</v>
      </c>
    </row>
    <row r="138" spans="1:13" x14ac:dyDescent="0.35">
      <c r="A138" s="205">
        <v>134</v>
      </c>
      <c r="B138" s="192">
        <v>46139</v>
      </c>
      <c r="C138" s="192">
        <v>46140</v>
      </c>
      <c r="D138" s="193">
        <v>0.83333333333333337</v>
      </c>
      <c r="E138" s="193">
        <v>0.33333333333333331</v>
      </c>
      <c r="F138" s="208">
        <v>502000</v>
      </c>
      <c r="G138" s="195">
        <f t="shared" si="2"/>
        <v>502000</v>
      </c>
      <c r="H138" s="196" t="s">
        <v>12</v>
      </c>
      <c r="I138" s="213">
        <v>987264299560</v>
      </c>
      <c r="J138" s="213">
        <v>926119433319923</v>
      </c>
      <c r="K138" s="201" t="s">
        <v>20</v>
      </c>
      <c r="L138" s="191" t="s">
        <v>27</v>
      </c>
      <c r="M138" s="201" t="s">
        <v>13</v>
      </c>
    </row>
    <row r="139" spans="1:13" x14ac:dyDescent="0.35">
      <c r="A139" s="206">
        <v>135</v>
      </c>
      <c r="B139" s="173">
        <v>46139</v>
      </c>
      <c r="C139" s="173">
        <v>46139</v>
      </c>
      <c r="D139" s="207">
        <v>0.20833333333333334</v>
      </c>
      <c r="E139" s="207">
        <v>0.91666666666666663</v>
      </c>
      <c r="F139" s="209">
        <v>86000</v>
      </c>
      <c r="G139" s="174">
        <f t="shared" si="2"/>
        <v>86000</v>
      </c>
      <c r="H139" s="175" t="s">
        <v>12</v>
      </c>
      <c r="I139" s="214">
        <v>987264398896</v>
      </c>
      <c r="J139" s="214">
        <v>926129436232970</v>
      </c>
      <c r="K139" s="180" t="s">
        <v>163</v>
      </c>
      <c r="L139" s="179" t="s">
        <v>27</v>
      </c>
      <c r="M139" s="180" t="s">
        <v>158</v>
      </c>
    </row>
    <row r="140" spans="1:13" x14ac:dyDescent="0.35">
      <c r="A140" s="205">
        <v>136</v>
      </c>
      <c r="B140" s="192">
        <v>46140</v>
      </c>
      <c r="C140" s="192">
        <v>46140</v>
      </c>
      <c r="D140" s="193">
        <v>0.33333333333333331</v>
      </c>
      <c r="E140" s="193">
        <v>0.83333333333333337</v>
      </c>
      <c r="F140" s="208">
        <v>198000</v>
      </c>
      <c r="G140" s="195">
        <f t="shared" si="2"/>
        <v>198000</v>
      </c>
      <c r="H140" s="196" t="s">
        <v>12</v>
      </c>
      <c r="I140" s="213">
        <v>987264313414</v>
      </c>
      <c r="J140" s="213">
        <v>926121433725341</v>
      </c>
      <c r="K140" s="201" t="s">
        <v>166</v>
      </c>
      <c r="L140" s="191" t="s">
        <v>27</v>
      </c>
      <c r="M140" s="201" t="s">
        <v>21</v>
      </c>
    </row>
    <row r="141" spans="1:13" x14ac:dyDescent="0.35">
      <c r="A141" s="205">
        <v>137</v>
      </c>
      <c r="B141" s="192">
        <v>46140</v>
      </c>
      <c r="C141" s="192">
        <v>46140</v>
      </c>
      <c r="D141" s="193">
        <v>0.33333333333333331</v>
      </c>
      <c r="E141" s="193">
        <v>0.83333333333333337</v>
      </c>
      <c r="F141" s="208">
        <v>1067000</v>
      </c>
      <c r="G141" s="195">
        <f t="shared" si="2"/>
        <v>1067000</v>
      </c>
      <c r="H141" s="196" t="s">
        <v>12</v>
      </c>
      <c r="I141" s="213">
        <v>987264313414</v>
      </c>
      <c r="J141" s="213">
        <v>926121433725341</v>
      </c>
      <c r="K141" s="201" t="s">
        <v>15</v>
      </c>
      <c r="L141" s="191" t="s">
        <v>27</v>
      </c>
      <c r="M141" s="201" t="s">
        <v>13</v>
      </c>
    </row>
    <row r="142" spans="1:13" x14ac:dyDescent="0.35">
      <c r="A142" s="205">
        <v>138</v>
      </c>
      <c r="B142" s="192">
        <v>46140</v>
      </c>
      <c r="C142" s="192">
        <v>46141</v>
      </c>
      <c r="D142" s="193">
        <v>0.83333333333333337</v>
      </c>
      <c r="E142" s="193">
        <v>0.33333333333333331</v>
      </c>
      <c r="F142" s="208">
        <v>201000</v>
      </c>
      <c r="G142" s="195">
        <f t="shared" si="2"/>
        <v>201000</v>
      </c>
      <c r="H142" s="196" t="s">
        <v>12</v>
      </c>
      <c r="I142" s="213">
        <v>987264313414</v>
      </c>
      <c r="J142" s="213">
        <v>926121433725341</v>
      </c>
      <c r="K142" s="201" t="s">
        <v>19</v>
      </c>
      <c r="L142" s="191" t="s">
        <v>27</v>
      </c>
      <c r="M142" s="201" t="s">
        <v>21</v>
      </c>
    </row>
    <row r="143" spans="1:13" x14ac:dyDescent="0.35">
      <c r="A143" s="205">
        <v>139</v>
      </c>
      <c r="B143" s="192">
        <v>46140</v>
      </c>
      <c r="C143" s="192">
        <v>46141</v>
      </c>
      <c r="D143" s="193">
        <v>0.83333333333333337</v>
      </c>
      <c r="E143" s="193">
        <v>0.33333333333333331</v>
      </c>
      <c r="F143" s="208">
        <v>561000</v>
      </c>
      <c r="G143" s="195">
        <f t="shared" si="2"/>
        <v>561000</v>
      </c>
      <c r="H143" s="196" t="s">
        <v>12</v>
      </c>
      <c r="I143" s="213">
        <v>987264313414</v>
      </c>
      <c r="J143" s="213">
        <v>926121433725341</v>
      </c>
      <c r="K143" s="201" t="s">
        <v>20</v>
      </c>
      <c r="L143" s="191" t="s">
        <v>27</v>
      </c>
      <c r="M143" s="201" t="s">
        <v>13</v>
      </c>
    </row>
    <row r="144" spans="1:13" x14ac:dyDescent="0.35">
      <c r="A144" s="206">
        <v>140</v>
      </c>
      <c r="B144" s="173">
        <v>46140</v>
      </c>
      <c r="C144" s="173">
        <v>46140</v>
      </c>
      <c r="D144" s="207">
        <v>0.20833333333333334</v>
      </c>
      <c r="E144" s="207">
        <v>0.91666666666666663</v>
      </c>
      <c r="F144" s="209">
        <v>54000</v>
      </c>
      <c r="G144" s="174">
        <f t="shared" si="2"/>
        <v>54000</v>
      </c>
      <c r="H144" s="175" t="s">
        <v>12</v>
      </c>
      <c r="I144" s="214">
        <v>987264398898</v>
      </c>
      <c r="J144" s="214">
        <v>926129436231934</v>
      </c>
      <c r="K144" s="180" t="s">
        <v>163</v>
      </c>
      <c r="L144" s="179" t="s">
        <v>27</v>
      </c>
      <c r="M144" s="180" t="s">
        <v>158</v>
      </c>
    </row>
    <row r="145" spans="1:13" x14ac:dyDescent="0.35">
      <c r="A145" s="205">
        <v>141</v>
      </c>
      <c r="B145" s="192">
        <v>46141</v>
      </c>
      <c r="C145" s="192">
        <v>46141</v>
      </c>
      <c r="D145" s="193">
        <v>0.33333333333333331</v>
      </c>
      <c r="E145" s="193">
        <v>0.83333333333333337</v>
      </c>
      <c r="F145" s="208">
        <v>310000</v>
      </c>
      <c r="G145" s="195">
        <f t="shared" si="2"/>
        <v>310000</v>
      </c>
      <c r="H145" s="196" t="s">
        <v>12</v>
      </c>
      <c r="I145" s="213">
        <v>987264323374</v>
      </c>
      <c r="J145" s="213">
        <v>926121433968227</v>
      </c>
      <c r="K145" s="201" t="s">
        <v>25</v>
      </c>
      <c r="L145" s="191" t="s">
        <v>27</v>
      </c>
      <c r="M145" s="201" t="s">
        <v>21</v>
      </c>
    </row>
    <row r="146" spans="1:13" x14ac:dyDescent="0.35">
      <c r="A146" s="205">
        <v>142</v>
      </c>
      <c r="B146" s="192">
        <v>46141</v>
      </c>
      <c r="C146" s="192">
        <v>46141</v>
      </c>
      <c r="D146" s="193">
        <v>0.33333333333333331</v>
      </c>
      <c r="E146" s="193">
        <v>0.83333333333333337</v>
      </c>
      <c r="F146" s="208">
        <v>1164000</v>
      </c>
      <c r="G146" s="195">
        <f t="shared" si="2"/>
        <v>1164000</v>
      </c>
      <c r="H146" s="196" t="s">
        <v>12</v>
      </c>
      <c r="I146" s="213">
        <v>987264323374</v>
      </c>
      <c r="J146" s="213">
        <v>926121433968227</v>
      </c>
      <c r="K146" s="201" t="s">
        <v>24</v>
      </c>
      <c r="L146" s="191" t="s">
        <v>27</v>
      </c>
      <c r="M146" s="201" t="s">
        <v>13</v>
      </c>
    </row>
    <row r="147" spans="1:13" x14ac:dyDescent="0.35">
      <c r="A147" s="205">
        <v>143</v>
      </c>
      <c r="B147" s="192">
        <v>46141</v>
      </c>
      <c r="C147" s="192">
        <v>46142</v>
      </c>
      <c r="D147" s="193">
        <v>0.83333333333333337</v>
      </c>
      <c r="E147" s="193">
        <v>0.33333333333333331</v>
      </c>
      <c r="F147" s="208">
        <v>94000</v>
      </c>
      <c r="G147" s="195">
        <f t="shared" si="2"/>
        <v>94000</v>
      </c>
      <c r="H147" s="196" t="s">
        <v>12</v>
      </c>
      <c r="I147" s="213">
        <v>987264323374</v>
      </c>
      <c r="J147" s="213">
        <v>926121433968227</v>
      </c>
      <c r="K147" s="201" t="s">
        <v>166</v>
      </c>
      <c r="L147" s="191" t="s">
        <v>27</v>
      </c>
      <c r="M147" s="201" t="s">
        <v>21</v>
      </c>
    </row>
    <row r="148" spans="1:13" x14ac:dyDescent="0.35">
      <c r="A148" s="205">
        <v>144</v>
      </c>
      <c r="B148" s="192">
        <v>46141</v>
      </c>
      <c r="C148" s="192">
        <v>46142</v>
      </c>
      <c r="D148" s="193">
        <v>0.83333333333333337</v>
      </c>
      <c r="E148" s="193">
        <v>0.33333333333333331</v>
      </c>
      <c r="F148" s="208">
        <v>519000</v>
      </c>
      <c r="G148" s="195">
        <f t="shared" si="2"/>
        <v>519000</v>
      </c>
      <c r="H148" s="196" t="s">
        <v>12</v>
      </c>
      <c r="I148" s="213">
        <v>987264323374</v>
      </c>
      <c r="J148" s="213">
        <v>926121433968227</v>
      </c>
      <c r="K148" s="201" t="s">
        <v>15</v>
      </c>
      <c r="L148" s="191" t="s">
        <v>27</v>
      </c>
      <c r="M148" s="201" t="s">
        <v>13</v>
      </c>
    </row>
    <row r="149" spans="1:13" x14ac:dyDescent="0.35">
      <c r="A149" s="206">
        <v>145</v>
      </c>
      <c r="B149" s="173">
        <v>46141</v>
      </c>
      <c r="C149" s="173">
        <v>46141</v>
      </c>
      <c r="D149" s="207">
        <v>0.20833333333333334</v>
      </c>
      <c r="E149" s="207">
        <v>0.91666666666666663</v>
      </c>
      <c r="F149" s="209">
        <v>31000</v>
      </c>
      <c r="G149" s="174">
        <f t="shared" si="2"/>
        <v>31000</v>
      </c>
      <c r="H149" s="175" t="s">
        <v>12</v>
      </c>
      <c r="I149" s="214">
        <v>987264398899</v>
      </c>
      <c r="J149" s="214">
        <v>926129436231962</v>
      </c>
      <c r="K149" s="180" t="s">
        <v>163</v>
      </c>
      <c r="L149" s="179" t="s">
        <v>27</v>
      </c>
      <c r="M149" s="180" t="s">
        <v>158</v>
      </c>
    </row>
    <row r="150" spans="1:13" x14ac:dyDescent="0.35">
      <c r="A150" s="205">
        <v>146</v>
      </c>
      <c r="B150" s="192">
        <v>46142</v>
      </c>
      <c r="C150" s="192">
        <v>46142</v>
      </c>
      <c r="D150" s="193">
        <v>0.33333333333333331</v>
      </c>
      <c r="E150" s="193">
        <v>0.83333333333333337</v>
      </c>
      <c r="F150" s="208">
        <v>272000</v>
      </c>
      <c r="G150" s="195">
        <f t="shared" si="2"/>
        <v>272000</v>
      </c>
      <c r="H150" s="196" t="s">
        <v>12</v>
      </c>
      <c r="I150" s="213">
        <v>987264355661</v>
      </c>
      <c r="J150" s="213">
        <v>926125434919130</v>
      </c>
      <c r="K150" s="201" t="s">
        <v>167</v>
      </c>
      <c r="L150" s="191" t="s">
        <v>27</v>
      </c>
      <c r="M150" s="201" t="s">
        <v>21</v>
      </c>
    </row>
    <row r="151" spans="1:13" x14ac:dyDescent="0.35">
      <c r="A151" s="205">
        <v>147</v>
      </c>
      <c r="B151" s="192">
        <v>46142</v>
      </c>
      <c r="C151" s="192">
        <v>46142</v>
      </c>
      <c r="D151" s="193">
        <v>0.33333333333333331</v>
      </c>
      <c r="E151" s="193">
        <v>0.83333333333333337</v>
      </c>
      <c r="F151" s="208">
        <v>1346000</v>
      </c>
      <c r="G151" s="195">
        <f t="shared" si="2"/>
        <v>1346000</v>
      </c>
      <c r="H151" s="196" t="s">
        <v>12</v>
      </c>
      <c r="I151" s="213">
        <v>987264355661</v>
      </c>
      <c r="J151" s="213">
        <v>926125434919130</v>
      </c>
      <c r="K151" s="201" t="s">
        <v>24</v>
      </c>
      <c r="L151" s="191" t="s">
        <v>27</v>
      </c>
      <c r="M151" s="201" t="s">
        <v>13</v>
      </c>
    </row>
    <row r="152" spans="1:13" x14ac:dyDescent="0.35">
      <c r="A152" s="205">
        <v>148</v>
      </c>
      <c r="B152" s="192">
        <v>46142</v>
      </c>
      <c r="C152" s="192">
        <v>46143</v>
      </c>
      <c r="D152" s="193">
        <v>0.83333333333333337</v>
      </c>
      <c r="E152" s="193">
        <v>0.33333333333333331</v>
      </c>
      <c r="F152" s="208">
        <v>194000</v>
      </c>
      <c r="G152" s="195">
        <f t="shared" si="2"/>
        <v>194000</v>
      </c>
      <c r="H152" s="196"/>
      <c r="I152" s="213">
        <v>987264355661</v>
      </c>
      <c r="J152" s="213">
        <v>926125434919130</v>
      </c>
      <c r="K152" s="201" t="s">
        <v>166</v>
      </c>
      <c r="L152" s="191" t="s">
        <v>27</v>
      </c>
      <c r="M152" s="201" t="s">
        <v>21</v>
      </c>
    </row>
    <row r="153" spans="1:13" x14ac:dyDescent="0.35">
      <c r="A153" s="205">
        <v>149</v>
      </c>
      <c r="B153" s="192">
        <v>46142</v>
      </c>
      <c r="C153" s="192">
        <v>46143</v>
      </c>
      <c r="D153" s="193">
        <v>0.83333333333333337</v>
      </c>
      <c r="E153" s="193">
        <v>0.33333333333333331</v>
      </c>
      <c r="F153" s="208">
        <v>536600</v>
      </c>
      <c r="G153" s="195">
        <f t="shared" si="2"/>
        <v>536600</v>
      </c>
      <c r="H153" s="196"/>
      <c r="I153" s="213">
        <v>987264355661</v>
      </c>
      <c r="J153" s="213">
        <v>926125434919130</v>
      </c>
      <c r="K153" s="201" t="s">
        <v>15</v>
      </c>
      <c r="L153" s="191" t="s">
        <v>27</v>
      </c>
      <c r="M153" s="201" t="s">
        <v>13</v>
      </c>
    </row>
    <row r="154" spans="1:13" x14ac:dyDescent="0.35">
      <c r="A154" s="206">
        <v>150</v>
      </c>
      <c r="B154" s="173">
        <v>46142</v>
      </c>
      <c r="C154" s="173">
        <v>46142</v>
      </c>
      <c r="D154" s="207">
        <v>0.20833333333333334</v>
      </c>
      <c r="E154" s="207">
        <v>0.91666666666666663</v>
      </c>
      <c r="F154" s="209">
        <v>41000</v>
      </c>
      <c r="G154" s="174">
        <f t="shared" si="2"/>
        <v>41000</v>
      </c>
      <c r="H154" s="175" t="s">
        <v>12</v>
      </c>
      <c r="I154" s="214">
        <v>987264398905</v>
      </c>
      <c r="J154" s="214">
        <v>926129436232270</v>
      </c>
      <c r="K154" s="180" t="s">
        <v>163</v>
      </c>
      <c r="L154" s="179" t="s">
        <v>27</v>
      </c>
      <c r="M154" s="180" t="s">
        <v>158</v>
      </c>
    </row>
    <row r="155" spans="1:13" x14ac:dyDescent="0.35">
      <c r="A155" s="397" t="s">
        <v>4</v>
      </c>
      <c r="B155" s="398"/>
      <c r="C155" s="398"/>
      <c r="D155" s="398"/>
      <c r="E155" s="399"/>
      <c r="F155" s="181">
        <f>SUM(F5:F154)</f>
        <v>72443600</v>
      </c>
      <c r="G155" s="212">
        <f>SUM(G5:G154)</f>
        <v>72443600</v>
      </c>
      <c r="H155" s="182"/>
      <c r="I155" s="182"/>
      <c r="J155" s="182"/>
      <c r="K155" s="183"/>
      <c r="L155" s="182"/>
      <c r="M155" s="182"/>
    </row>
  </sheetData>
  <mergeCells count="4">
    <mergeCell ref="A1:L1"/>
    <mergeCell ref="A2:L2"/>
    <mergeCell ref="A3:L3"/>
    <mergeCell ref="A155:E15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16EAE-E7D5-4832-9B18-DBBFD2DCB977}">
  <dimension ref="A1:N160"/>
  <sheetViews>
    <sheetView topLeftCell="B136" zoomScaleNormal="100" workbookViewId="0">
      <selection activeCell="L128" sqref="L128"/>
    </sheetView>
  </sheetViews>
  <sheetFormatPr defaultRowHeight="14.5" x14ac:dyDescent="0.35"/>
  <cols>
    <col min="1" max="1" width="8.7265625" style="1"/>
    <col min="2" max="2" width="11.54296875" customWidth="1"/>
    <col min="3" max="3" width="10.54296875" customWidth="1"/>
    <col min="6" max="6" width="20.26953125" customWidth="1"/>
    <col min="7" max="7" width="20" customWidth="1"/>
    <col min="8" max="8" width="13.6328125" customWidth="1"/>
    <col min="9" max="9" width="14.90625" customWidth="1"/>
    <col min="10" max="10" width="16.453125" customWidth="1"/>
    <col min="11" max="11" width="14.36328125" style="8" customWidth="1"/>
    <col min="12" max="12" width="20.6328125" customWidth="1"/>
    <col min="13" max="13" width="12.08984375" customWidth="1"/>
    <col min="14" max="14" width="8.7265625" hidden="1" customWidth="1"/>
  </cols>
  <sheetData>
    <row r="1" spans="1:14" x14ac:dyDescent="0.35">
      <c r="A1" s="74"/>
      <c r="B1" s="72"/>
      <c r="C1" s="400" t="s">
        <v>50</v>
      </c>
      <c r="D1" s="400"/>
      <c r="E1" s="400"/>
      <c r="F1" s="400"/>
      <c r="G1" s="400"/>
      <c r="H1" s="400"/>
      <c r="I1" s="400"/>
      <c r="J1" s="400"/>
      <c r="K1" s="400"/>
      <c r="L1" s="400"/>
      <c r="M1" s="400"/>
      <c r="N1" s="401"/>
    </row>
    <row r="2" spans="1:14" x14ac:dyDescent="0.35">
      <c r="A2" s="74"/>
      <c r="B2" s="72"/>
      <c r="C2" s="377">
        <v>46143</v>
      </c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8"/>
    </row>
    <row r="3" spans="1:14" ht="15" thickBot="1" x14ac:dyDescent="0.4">
      <c r="A3" s="74"/>
      <c r="B3" s="72"/>
      <c r="C3" s="402" t="s">
        <v>155</v>
      </c>
      <c r="D3" s="402"/>
      <c r="E3" s="402"/>
      <c r="F3" s="402"/>
      <c r="G3" s="402"/>
      <c r="H3" s="402"/>
      <c r="I3" s="402"/>
      <c r="J3" s="402"/>
      <c r="K3" s="402"/>
      <c r="L3" s="402"/>
      <c r="M3" s="402"/>
      <c r="N3" s="403"/>
    </row>
    <row r="4" spans="1:14" x14ac:dyDescent="0.35">
      <c r="A4" s="220" t="s">
        <v>52</v>
      </c>
      <c r="B4" s="221" t="s">
        <v>2</v>
      </c>
      <c r="C4" s="222" t="s">
        <v>3</v>
      </c>
      <c r="D4" s="220" t="s">
        <v>0</v>
      </c>
      <c r="E4" s="220" t="s">
        <v>1</v>
      </c>
      <c r="F4" s="223" t="s">
        <v>10</v>
      </c>
      <c r="G4" s="224" t="s">
        <v>9</v>
      </c>
      <c r="H4" s="225" t="s">
        <v>11</v>
      </c>
      <c r="I4" s="226" t="s">
        <v>18</v>
      </c>
      <c r="J4" s="220" t="s">
        <v>17</v>
      </c>
      <c r="K4" s="227" t="s">
        <v>5</v>
      </c>
      <c r="L4" s="220" t="s">
        <v>8</v>
      </c>
      <c r="M4" s="228" t="s">
        <v>6</v>
      </c>
      <c r="N4" s="72"/>
    </row>
    <row r="5" spans="1:14" x14ac:dyDescent="0.35">
      <c r="A5" s="229">
        <v>1</v>
      </c>
      <c r="B5" s="230">
        <v>46143</v>
      </c>
      <c r="C5" s="231">
        <v>46143</v>
      </c>
      <c r="D5" s="232">
        <v>0.33333333333333331</v>
      </c>
      <c r="E5" s="232">
        <v>0.83333333333333337</v>
      </c>
      <c r="F5" s="238">
        <v>311000</v>
      </c>
      <c r="G5" s="238">
        <f t="shared" ref="G5:G138" si="0">SUM(F5)</f>
        <v>311000</v>
      </c>
      <c r="H5" s="216">
        <f>F5-G5</f>
        <v>0</v>
      </c>
      <c r="I5" s="136">
        <v>987264355668</v>
      </c>
      <c r="J5" s="136">
        <v>926125434918827</v>
      </c>
      <c r="K5" s="217" t="s">
        <v>19</v>
      </c>
      <c r="L5" s="218" t="s">
        <v>27</v>
      </c>
      <c r="M5" s="219" t="s">
        <v>21</v>
      </c>
    </row>
    <row r="6" spans="1:14" x14ac:dyDescent="0.35">
      <c r="A6" s="229">
        <v>2</v>
      </c>
      <c r="B6" s="230">
        <v>46143</v>
      </c>
      <c r="C6" s="231">
        <v>46143</v>
      </c>
      <c r="D6" s="232">
        <v>0.33333333333333331</v>
      </c>
      <c r="E6" s="232">
        <v>0.83333333333333337</v>
      </c>
      <c r="F6" s="238">
        <v>1331000</v>
      </c>
      <c r="G6" s="238">
        <f t="shared" si="0"/>
        <v>1331000</v>
      </c>
      <c r="H6" s="216">
        <f t="shared" ref="H6:H81" si="1">F6-G6</f>
        <v>0</v>
      </c>
      <c r="I6" s="136">
        <v>987264355668</v>
      </c>
      <c r="J6" s="136">
        <v>926125434918827</v>
      </c>
      <c r="K6" s="217" t="s">
        <v>20</v>
      </c>
      <c r="L6" s="218" t="s">
        <v>27</v>
      </c>
      <c r="M6" s="219" t="s">
        <v>13</v>
      </c>
    </row>
    <row r="7" spans="1:14" x14ac:dyDescent="0.35">
      <c r="A7" s="229">
        <v>3</v>
      </c>
      <c r="B7" s="230">
        <v>46143</v>
      </c>
      <c r="C7" s="231">
        <v>46144</v>
      </c>
      <c r="D7" s="232">
        <v>0.83333333333333337</v>
      </c>
      <c r="E7" s="232">
        <v>0.33333333333333331</v>
      </c>
      <c r="F7" s="238">
        <v>127000</v>
      </c>
      <c r="G7" s="238">
        <f t="shared" si="0"/>
        <v>127000</v>
      </c>
      <c r="H7" s="216">
        <f t="shared" si="1"/>
        <v>0</v>
      </c>
      <c r="I7" s="136">
        <v>987264355668</v>
      </c>
      <c r="J7" s="136">
        <v>926125434918827</v>
      </c>
      <c r="K7" s="217" t="s">
        <v>154</v>
      </c>
      <c r="L7" s="218" t="s">
        <v>27</v>
      </c>
      <c r="M7" s="219" t="s">
        <v>21</v>
      </c>
    </row>
    <row r="8" spans="1:14" x14ac:dyDescent="0.35">
      <c r="A8" s="229">
        <v>4</v>
      </c>
      <c r="B8" s="230">
        <v>46143</v>
      </c>
      <c r="C8" s="231">
        <v>46144</v>
      </c>
      <c r="D8" s="232">
        <v>0.83333333333333337</v>
      </c>
      <c r="E8" s="232">
        <v>0.33333333333333331</v>
      </c>
      <c r="F8" s="238">
        <v>394000</v>
      </c>
      <c r="G8" s="238">
        <f t="shared" si="0"/>
        <v>394000</v>
      </c>
      <c r="H8" s="216">
        <f t="shared" si="1"/>
        <v>0</v>
      </c>
      <c r="I8" s="136">
        <v>987264355668</v>
      </c>
      <c r="J8" s="136">
        <v>926125434918827</v>
      </c>
      <c r="K8" s="217" t="s">
        <v>24</v>
      </c>
      <c r="L8" s="218" t="s">
        <v>27</v>
      </c>
      <c r="M8" s="219" t="s">
        <v>13</v>
      </c>
    </row>
    <row r="9" spans="1:14" x14ac:dyDescent="0.35">
      <c r="A9" s="218">
        <v>5</v>
      </c>
      <c r="B9" s="241">
        <v>46143</v>
      </c>
      <c r="C9" s="241">
        <v>46143</v>
      </c>
      <c r="D9" s="133">
        <v>0.20833333333333334</v>
      </c>
      <c r="E9" s="133">
        <v>0.91666666666666663</v>
      </c>
      <c r="F9" s="239">
        <v>60000</v>
      </c>
      <c r="G9" s="239">
        <f t="shared" si="0"/>
        <v>60000</v>
      </c>
      <c r="H9" s="234">
        <f t="shared" si="1"/>
        <v>0</v>
      </c>
      <c r="I9" s="235">
        <v>987264398888</v>
      </c>
      <c r="J9" s="235">
        <v>926125436232497</v>
      </c>
      <c r="K9" s="236" t="s">
        <v>169</v>
      </c>
      <c r="L9" s="229" t="s">
        <v>27</v>
      </c>
      <c r="M9" s="237" t="s">
        <v>158</v>
      </c>
    </row>
    <row r="10" spans="1:14" x14ac:dyDescent="0.35">
      <c r="A10" s="242">
        <v>6</v>
      </c>
      <c r="B10" s="231">
        <v>46144</v>
      </c>
      <c r="C10" s="231">
        <v>46144</v>
      </c>
      <c r="D10" s="232">
        <v>0.33333333333333331</v>
      </c>
      <c r="E10" s="232">
        <v>0.83333333333333337</v>
      </c>
      <c r="F10" s="243">
        <v>215000</v>
      </c>
      <c r="G10" s="238">
        <f t="shared" si="0"/>
        <v>215000</v>
      </c>
      <c r="H10" s="216">
        <f t="shared" si="1"/>
        <v>0</v>
      </c>
      <c r="I10" s="136">
        <v>987264355672</v>
      </c>
      <c r="J10" s="136">
        <v>926125434918536</v>
      </c>
      <c r="K10" s="248" t="s">
        <v>19</v>
      </c>
      <c r="L10" s="218" t="s">
        <v>27</v>
      </c>
      <c r="M10" s="138" t="s">
        <v>21</v>
      </c>
    </row>
    <row r="11" spans="1:14" x14ac:dyDescent="0.35">
      <c r="A11" s="242">
        <v>7</v>
      </c>
      <c r="B11" s="231">
        <v>46144</v>
      </c>
      <c r="C11" s="231">
        <v>46144</v>
      </c>
      <c r="D11" s="232">
        <v>0.33333333333333331</v>
      </c>
      <c r="E11" s="232">
        <v>0.83333333333333337</v>
      </c>
      <c r="F11" s="243">
        <v>1080000</v>
      </c>
      <c r="G11" s="238">
        <f t="shared" si="0"/>
        <v>1080000</v>
      </c>
      <c r="H11" s="216">
        <f t="shared" si="1"/>
        <v>0</v>
      </c>
      <c r="I11" s="136">
        <v>987264355672</v>
      </c>
      <c r="J11" s="136">
        <v>926125434918536</v>
      </c>
      <c r="K11" s="248" t="s">
        <v>20</v>
      </c>
      <c r="L11" s="218" t="s">
        <v>27</v>
      </c>
      <c r="M11" s="138" t="s">
        <v>13</v>
      </c>
    </row>
    <row r="12" spans="1:14" x14ac:dyDescent="0.35">
      <c r="A12" s="242">
        <v>8</v>
      </c>
      <c r="B12" s="231">
        <v>46144</v>
      </c>
      <c r="C12" s="231">
        <v>46145</v>
      </c>
      <c r="D12" s="232">
        <v>0.83333333333333337</v>
      </c>
      <c r="E12" s="232">
        <v>0.33333333333333331</v>
      </c>
      <c r="F12" s="243">
        <v>201000</v>
      </c>
      <c r="G12" s="238">
        <f t="shared" si="0"/>
        <v>201000</v>
      </c>
      <c r="H12" s="216">
        <f t="shared" si="1"/>
        <v>0</v>
      </c>
      <c r="I12" s="136">
        <v>987264355672</v>
      </c>
      <c r="J12" s="136">
        <v>926125434918536</v>
      </c>
      <c r="K12" s="248" t="s">
        <v>154</v>
      </c>
      <c r="L12" s="218" t="s">
        <v>27</v>
      </c>
      <c r="M12" s="138" t="s">
        <v>21</v>
      </c>
    </row>
    <row r="13" spans="1:14" x14ac:dyDescent="0.35">
      <c r="A13" s="242">
        <v>9</v>
      </c>
      <c r="B13" s="231">
        <v>46144</v>
      </c>
      <c r="C13" s="231">
        <v>46145</v>
      </c>
      <c r="D13" s="232">
        <v>0.83333333333333337</v>
      </c>
      <c r="E13" s="232">
        <v>0.33333333333333331</v>
      </c>
      <c r="F13" s="243">
        <v>751000</v>
      </c>
      <c r="G13" s="238">
        <f t="shared" si="0"/>
        <v>751000</v>
      </c>
      <c r="H13" s="216">
        <f t="shared" si="1"/>
        <v>0</v>
      </c>
      <c r="I13" s="136">
        <v>987264355672</v>
      </c>
      <c r="J13" s="136">
        <v>926125434918536</v>
      </c>
      <c r="K13" s="248" t="s">
        <v>24</v>
      </c>
      <c r="L13" s="218" t="s">
        <v>27</v>
      </c>
      <c r="M13" s="138" t="s">
        <v>13</v>
      </c>
    </row>
    <row r="14" spans="1:14" x14ac:dyDescent="0.35">
      <c r="A14" s="131">
        <v>10</v>
      </c>
      <c r="B14" s="240">
        <v>46144</v>
      </c>
      <c r="C14" s="240">
        <v>46144</v>
      </c>
      <c r="D14" s="133">
        <v>0.20833333333333334</v>
      </c>
      <c r="E14" s="133">
        <v>0.91666666666666663</v>
      </c>
      <c r="F14" s="244">
        <v>48000</v>
      </c>
      <c r="G14" s="239">
        <f t="shared" si="0"/>
        <v>48000</v>
      </c>
      <c r="H14" s="234">
        <f t="shared" si="1"/>
        <v>0</v>
      </c>
      <c r="I14" s="235">
        <v>987264398912</v>
      </c>
      <c r="J14" s="235">
        <v>926125436232920</v>
      </c>
      <c r="K14" s="249" t="s">
        <v>163</v>
      </c>
      <c r="L14" s="229" t="s">
        <v>27</v>
      </c>
      <c r="M14" s="245" t="s">
        <v>158</v>
      </c>
    </row>
    <row r="15" spans="1:14" x14ac:dyDescent="0.35">
      <c r="A15" s="242">
        <v>11</v>
      </c>
      <c r="B15" s="231">
        <v>46145</v>
      </c>
      <c r="C15" s="231">
        <v>46145</v>
      </c>
      <c r="D15" s="232">
        <v>0.33333333333333331</v>
      </c>
      <c r="E15" s="232">
        <v>0.83333333333333337</v>
      </c>
      <c r="F15" s="243">
        <v>925000</v>
      </c>
      <c r="G15" s="238">
        <f t="shared" si="0"/>
        <v>925000</v>
      </c>
      <c r="H15" s="216">
        <f t="shared" si="1"/>
        <v>0</v>
      </c>
      <c r="I15" s="136">
        <v>987264388535</v>
      </c>
      <c r="J15" s="136">
        <v>926127435658431</v>
      </c>
      <c r="K15" s="248" t="s">
        <v>166</v>
      </c>
      <c r="L15" s="218" t="s">
        <v>27</v>
      </c>
      <c r="M15" s="138" t="s">
        <v>21</v>
      </c>
    </row>
    <row r="16" spans="1:14" x14ac:dyDescent="0.35">
      <c r="A16" s="242">
        <v>12</v>
      </c>
      <c r="B16" s="231">
        <v>46145</v>
      </c>
      <c r="C16" s="231">
        <v>46145</v>
      </c>
      <c r="D16" s="232">
        <v>0.33333333333333331</v>
      </c>
      <c r="E16" s="232">
        <v>0.83333333333333337</v>
      </c>
      <c r="F16" s="243">
        <v>1806000</v>
      </c>
      <c r="G16" s="238">
        <f t="shared" si="0"/>
        <v>1806000</v>
      </c>
      <c r="H16" s="216">
        <f t="shared" si="1"/>
        <v>0</v>
      </c>
      <c r="I16" s="136">
        <v>987264388535</v>
      </c>
      <c r="J16" s="136">
        <v>926127435658431</v>
      </c>
      <c r="K16" s="248" t="s">
        <v>15</v>
      </c>
      <c r="L16" s="218" t="s">
        <v>27</v>
      </c>
      <c r="M16" s="138" t="s">
        <v>13</v>
      </c>
    </row>
    <row r="17" spans="1:13" x14ac:dyDescent="0.35">
      <c r="A17" s="242">
        <v>13</v>
      </c>
      <c r="B17" s="231">
        <v>46145</v>
      </c>
      <c r="C17" s="231">
        <v>46146</v>
      </c>
      <c r="D17" s="232">
        <v>0.83333333333333337</v>
      </c>
      <c r="E17" s="232">
        <v>0.33333333333333331</v>
      </c>
      <c r="F17" s="243">
        <v>234000</v>
      </c>
      <c r="G17" s="238">
        <f t="shared" si="0"/>
        <v>234000</v>
      </c>
      <c r="H17" s="216">
        <f t="shared" si="1"/>
        <v>0</v>
      </c>
      <c r="I17" s="136">
        <v>987264388535</v>
      </c>
      <c r="J17" s="136">
        <v>926127435658431</v>
      </c>
      <c r="K17" s="248" t="s">
        <v>19</v>
      </c>
      <c r="L17" s="218" t="s">
        <v>27</v>
      </c>
      <c r="M17" s="138" t="s">
        <v>21</v>
      </c>
    </row>
    <row r="18" spans="1:13" x14ac:dyDescent="0.35">
      <c r="A18" s="242">
        <v>14</v>
      </c>
      <c r="B18" s="231">
        <v>46145</v>
      </c>
      <c r="C18" s="231">
        <v>46146</v>
      </c>
      <c r="D18" s="232">
        <v>0.83333333333333337</v>
      </c>
      <c r="E18" s="232">
        <v>0.33333333333333331</v>
      </c>
      <c r="F18" s="243">
        <v>644000</v>
      </c>
      <c r="G18" s="238">
        <f t="shared" si="0"/>
        <v>644000</v>
      </c>
      <c r="H18" s="216">
        <f t="shared" si="1"/>
        <v>0</v>
      </c>
      <c r="I18" s="136">
        <v>987264388535</v>
      </c>
      <c r="J18" s="136">
        <v>926127435658431</v>
      </c>
      <c r="K18" s="248" t="s">
        <v>20</v>
      </c>
      <c r="L18" s="218" t="s">
        <v>27</v>
      </c>
      <c r="M18" s="138" t="s">
        <v>13</v>
      </c>
    </row>
    <row r="19" spans="1:13" x14ac:dyDescent="0.35">
      <c r="A19" s="131">
        <v>15</v>
      </c>
      <c r="B19" s="240">
        <v>46145</v>
      </c>
      <c r="C19" s="240">
        <v>46145</v>
      </c>
      <c r="D19" s="133">
        <v>0.20833333333333334</v>
      </c>
      <c r="E19" s="133">
        <v>0.91666666666666663</v>
      </c>
      <c r="F19" s="244">
        <v>56000</v>
      </c>
      <c r="G19" s="239">
        <f t="shared" si="0"/>
        <v>56000</v>
      </c>
      <c r="H19" s="234"/>
      <c r="I19" s="235">
        <v>987264398918</v>
      </c>
      <c r="J19" s="235">
        <v>926125436233252</v>
      </c>
      <c r="K19" s="249" t="s">
        <v>163</v>
      </c>
      <c r="L19" s="229" t="s">
        <v>27</v>
      </c>
      <c r="M19" s="245" t="s">
        <v>158</v>
      </c>
    </row>
    <row r="20" spans="1:13" x14ac:dyDescent="0.35">
      <c r="A20" s="242">
        <v>16</v>
      </c>
      <c r="B20" s="231">
        <v>46146</v>
      </c>
      <c r="C20" s="231">
        <v>46146</v>
      </c>
      <c r="D20" s="232">
        <v>0.33333333333333331</v>
      </c>
      <c r="E20" s="232">
        <v>0.83333333333333337</v>
      </c>
      <c r="F20" s="243">
        <v>872000</v>
      </c>
      <c r="G20" s="238">
        <f t="shared" si="0"/>
        <v>872000</v>
      </c>
      <c r="H20" s="216">
        <f t="shared" si="1"/>
        <v>0</v>
      </c>
      <c r="I20" s="136">
        <v>987264375461</v>
      </c>
      <c r="J20" s="136">
        <v>926125435656715</v>
      </c>
      <c r="K20" s="248" t="s">
        <v>166</v>
      </c>
      <c r="L20" s="218" t="s">
        <v>27</v>
      </c>
      <c r="M20" s="138" t="s">
        <v>170</v>
      </c>
    </row>
    <row r="21" spans="1:13" x14ac:dyDescent="0.35">
      <c r="A21" s="242">
        <v>17</v>
      </c>
      <c r="B21" s="231">
        <v>46146</v>
      </c>
      <c r="C21" s="231">
        <v>46146</v>
      </c>
      <c r="D21" s="232">
        <v>0.33333333333333331</v>
      </c>
      <c r="E21" s="232">
        <v>0.83333333333333337</v>
      </c>
      <c r="F21" s="243">
        <v>1102000</v>
      </c>
      <c r="G21" s="238">
        <f t="shared" si="0"/>
        <v>1102000</v>
      </c>
      <c r="H21" s="216">
        <f t="shared" si="1"/>
        <v>0</v>
      </c>
      <c r="I21" s="136">
        <v>987264375461</v>
      </c>
      <c r="J21" s="136">
        <v>926125435656715</v>
      </c>
      <c r="K21" s="248" t="s">
        <v>15</v>
      </c>
      <c r="L21" s="218" t="s">
        <v>27</v>
      </c>
      <c r="M21" s="138" t="s">
        <v>13</v>
      </c>
    </row>
    <row r="22" spans="1:13" x14ac:dyDescent="0.35">
      <c r="A22" s="242">
        <v>18</v>
      </c>
      <c r="B22" s="231">
        <v>46146</v>
      </c>
      <c r="C22" s="231">
        <v>46147</v>
      </c>
      <c r="D22" s="232">
        <v>0.83333333333333337</v>
      </c>
      <c r="E22" s="232">
        <v>0.33333333333333331</v>
      </c>
      <c r="F22" s="243">
        <v>204000</v>
      </c>
      <c r="G22" s="238">
        <f t="shared" si="0"/>
        <v>204000</v>
      </c>
      <c r="H22" s="216">
        <f t="shared" si="1"/>
        <v>0</v>
      </c>
      <c r="I22" s="136">
        <v>987264375461</v>
      </c>
      <c r="J22" s="136">
        <v>926125435656715</v>
      </c>
      <c r="K22" s="248" t="s">
        <v>19</v>
      </c>
      <c r="L22" s="218" t="s">
        <v>27</v>
      </c>
      <c r="M22" s="138" t="s">
        <v>21</v>
      </c>
    </row>
    <row r="23" spans="1:13" x14ac:dyDescent="0.35">
      <c r="A23" s="242">
        <v>19</v>
      </c>
      <c r="B23" s="231">
        <v>46146</v>
      </c>
      <c r="C23" s="231">
        <v>46147</v>
      </c>
      <c r="D23" s="232">
        <v>0.83333333333333337</v>
      </c>
      <c r="E23" s="232">
        <v>0.33333333333333331</v>
      </c>
      <c r="F23" s="243">
        <v>575000</v>
      </c>
      <c r="G23" s="238">
        <f t="shared" si="0"/>
        <v>575000</v>
      </c>
      <c r="H23" s="216">
        <f t="shared" si="1"/>
        <v>0</v>
      </c>
      <c r="I23" s="136">
        <v>987264375461</v>
      </c>
      <c r="J23" s="136">
        <v>926125435656715</v>
      </c>
      <c r="K23" s="248" t="s">
        <v>20</v>
      </c>
      <c r="L23" s="218" t="s">
        <v>27</v>
      </c>
      <c r="M23" s="138" t="s">
        <v>13</v>
      </c>
    </row>
    <row r="24" spans="1:13" x14ac:dyDescent="0.35">
      <c r="A24" s="131">
        <v>20</v>
      </c>
      <c r="B24" s="240">
        <v>46146</v>
      </c>
      <c r="C24" s="240">
        <v>46146</v>
      </c>
      <c r="D24" s="133">
        <v>0.20833333333333334</v>
      </c>
      <c r="E24" s="133">
        <v>0.91666666666666663</v>
      </c>
      <c r="F24" s="244">
        <v>89000</v>
      </c>
      <c r="G24" s="239">
        <f t="shared" si="0"/>
        <v>89000</v>
      </c>
      <c r="H24" s="234">
        <f t="shared" si="1"/>
        <v>0</v>
      </c>
      <c r="I24" s="235">
        <v>987264434513</v>
      </c>
      <c r="J24" s="235">
        <v>926133437438951</v>
      </c>
      <c r="K24" s="249" t="s">
        <v>163</v>
      </c>
      <c r="L24" s="229" t="s">
        <v>27</v>
      </c>
      <c r="M24" s="245" t="s">
        <v>158</v>
      </c>
    </row>
    <row r="25" spans="1:13" x14ac:dyDescent="0.35">
      <c r="A25" s="242">
        <v>21</v>
      </c>
      <c r="B25" s="231">
        <v>46147</v>
      </c>
      <c r="C25" s="231">
        <v>46147</v>
      </c>
      <c r="D25" s="232">
        <v>0.33333333333333331</v>
      </c>
      <c r="E25" s="232">
        <v>0.83333333333333337</v>
      </c>
      <c r="F25" s="243">
        <v>568000</v>
      </c>
      <c r="G25" s="238">
        <f t="shared" si="0"/>
        <v>568000</v>
      </c>
      <c r="H25" s="216">
        <f t="shared" si="1"/>
        <v>0</v>
      </c>
      <c r="I25" s="136">
        <v>987264375495</v>
      </c>
      <c r="J25" s="136">
        <v>926128435876277</v>
      </c>
      <c r="K25" s="248" t="s">
        <v>154</v>
      </c>
      <c r="L25" s="218" t="s">
        <v>27</v>
      </c>
      <c r="M25" s="138" t="s">
        <v>21</v>
      </c>
    </row>
    <row r="26" spans="1:13" x14ac:dyDescent="0.35">
      <c r="A26" s="242">
        <v>22</v>
      </c>
      <c r="B26" s="231">
        <v>46147</v>
      </c>
      <c r="C26" s="231">
        <v>46147</v>
      </c>
      <c r="D26" s="232">
        <v>0.33333333333333331</v>
      </c>
      <c r="E26" s="232">
        <v>0.83333333333333337</v>
      </c>
      <c r="F26" s="243">
        <v>1071000</v>
      </c>
      <c r="G26" s="238">
        <f t="shared" si="0"/>
        <v>1071000</v>
      </c>
      <c r="H26" s="216">
        <f t="shared" si="1"/>
        <v>0</v>
      </c>
      <c r="I26" s="136">
        <v>987264375495</v>
      </c>
      <c r="J26" s="136">
        <v>926128435876277</v>
      </c>
      <c r="K26" s="248" t="s">
        <v>24</v>
      </c>
      <c r="L26" s="218" t="s">
        <v>27</v>
      </c>
      <c r="M26" s="138" t="s">
        <v>13</v>
      </c>
    </row>
    <row r="27" spans="1:13" x14ac:dyDescent="0.35">
      <c r="A27" s="242">
        <v>23</v>
      </c>
      <c r="B27" s="231">
        <v>46147</v>
      </c>
      <c r="C27" s="231">
        <v>46148</v>
      </c>
      <c r="D27" s="232">
        <v>0.83333333333333337</v>
      </c>
      <c r="E27" s="232">
        <v>0.33333333333333331</v>
      </c>
      <c r="F27" s="243">
        <v>130000</v>
      </c>
      <c r="G27" s="238">
        <f t="shared" si="0"/>
        <v>130000</v>
      </c>
      <c r="H27" s="216">
        <f t="shared" si="1"/>
        <v>0</v>
      </c>
      <c r="I27" s="136">
        <v>987264375495</v>
      </c>
      <c r="J27" s="136">
        <v>926128435876277</v>
      </c>
      <c r="K27" s="248" t="s">
        <v>166</v>
      </c>
      <c r="L27" s="218" t="s">
        <v>27</v>
      </c>
      <c r="M27" s="138" t="s">
        <v>21</v>
      </c>
    </row>
    <row r="28" spans="1:13" x14ac:dyDescent="0.35">
      <c r="A28" s="242">
        <v>24</v>
      </c>
      <c r="B28" s="231">
        <v>46147</v>
      </c>
      <c r="C28" s="231">
        <v>46148</v>
      </c>
      <c r="D28" s="232">
        <v>0.83333333333333337</v>
      </c>
      <c r="E28" s="232">
        <v>0.33333333333333331</v>
      </c>
      <c r="F28" s="243">
        <v>371000</v>
      </c>
      <c r="G28" s="238">
        <f t="shared" si="0"/>
        <v>371000</v>
      </c>
      <c r="H28" s="216">
        <f t="shared" si="1"/>
        <v>0</v>
      </c>
      <c r="I28" s="136">
        <v>987264375495</v>
      </c>
      <c r="J28" s="136">
        <v>926128435876277</v>
      </c>
      <c r="K28" s="248" t="s">
        <v>15</v>
      </c>
      <c r="L28" s="218" t="s">
        <v>27</v>
      </c>
      <c r="M28" s="138" t="s">
        <v>13</v>
      </c>
    </row>
    <row r="29" spans="1:13" x14ac:dyDescent="0.35">
      <c r="A29" s="131">
        <v>25</v>
      </c>
      <c r="B29" s="240">
        <v>46147</v>
      </c>
      <c r="C29" s="240">
        <v>46147</v>
      </c>
      <c r="D29" s="133">
        <v>0.20833333333333334</v>
      </c>
      <c r="E29" s="133">
        <v>0.91666666666666663</v>
      </c>
      <c r="F29" s="244">
        <v>40000</v>
      </c>
      <c r="G29" s="239">
        <f t="shared" si="0"/>
        <v>40000</v>
      </c>
      <c r="H29" s="234">
        <f t="shared" si="1"/>
        <v>0</v>
      </c>
      <c r="I29" s="235">
        <v>987264434517</v>
      </c>
      <c r="J29" s="235">
        <v>926133437439444</v>
      </c>
      <c r="K29" s="249" t="s">
        <v>157</v>
      </c>
      <c r="L29" s="229" t="s">
        <v>27</v>
      </c>
      <c r="M29" s="245" t="s">
        <v>158</v>
      </c>
    </row>
    <row r="30" spans="1:13" x14ac:dyDescent="0.35">
      <c r="A30" s="242">
        <v>26</v>
      </c>
      <c r="B30" s="231">
        <v>46148</v>
      </c>
      <c r="C30" s="231">
        <v>46148</v>
      </c>
      <c r="D30" s="232">
        <v>0.33333333333333331</v>
      </c>
      <c r="E30" s="232">
        <v>0.83333333333333337</v>
      </c>
      <c r="F30" s="243">
        <v>236000</v>
      </c>
      <c r="G30" s="238">
        <f t="shared" si="0"/>
        <v>236000</v>
      </c>
      <c r="H30" s="216">
        <f t="shared" si="1"/>
        <v>0</v>
      </c>
      <c r="I30" s="136">
        <v>987264388560</v>
      </c>
      <c r="J30" s="136">
        <v>926128436228747</v>
      </c>
      <c r="K30" s="248" t="s">
        <v>154</v>
      </c>
      <c r="L30" s="218" t="s">
        <v>27</v>
      </c>
      <c r="M30" s="138" t="s">
        <v>21</v>
      </c>
    </row>
    <row r="31" spans="1:13" x14ac:dyDescent="0.35">
      <c r="A31" s="242">
        <v>27</v>
      </c>
      <c r="B31" s="231">
        <v>46148</v>
      </c>
      <c r="C31" s="231">
        <v>46148</v>
      </c>
      <c r="D31" s="232">
        <v>0.33333333333333331</v>
      </c>
      <c r="E31" s="232">
        <v>0.83333333333333337</v>
      </c>
      <c r="F31" s="243">
        <v>1063000</v>
      </c>
      <c r="G31" s="238">
        <f t="shared" si="0"/>
        <v>1063000</v>
      </c>
      <c r="H31" s="216">
        <f t="shared" si="1"/>
        <v>0</v>
      </c>
      <c r="I31" s="136">
        <v>987264388560</v>
      </c>
      <c r="J31" s="136">
        <v>926128436228747</v>
      </c>
      <c r="K31" s="248" t="s">
        <v>24</v>
      </c>
      <c r="L31" s="218" t="s">
        <v>27</v>
      </c>
      <c r="M31" s="138" t="s">
        <v>13</v>
      </c>
    </row>
    <row r="32" spans="1:13" x14ac:dyDescent="0.35">
      <c r="A32" s="242">
        <v>28</v>
      </c>
      <c r="B32" s="231">
        <v>46148</v>
      </c>
      <c r="C32" s="231">
        <v>46149</v>
      </c>
      <c r="D32" s="232">
        <v>0.83333333333333337</v>
      </c>
      <c r="E32" s="232">
        <v>0.33333333333333331</v>
      </c>
      <c r="F32" s="243">
        <v>120000</v>
      </c>
      <c r="G32" s="238">
        <f t="shared" si="0"/>
        <v>120000</v>
      </c>
      <c r="H32" s="216">
        <f t="shared" si="1"/>
        <v>0</v>
      </c>
      <c r="I32" s="136">
        <v>987264388560</v>
      </c>
      <c r="J32" s="136">
        <v>926128436228747</v>
      </c>
      <c r="K32" s="248" t="s">
        <v>166</v>
      </c>
      <c r="L32" s="218" t="s">
        <v>27</v>
      </c>
      <c r="M32" s="138" t="s">
        <v>21</v>
      </c>
    </row>
    <row r="33" spans="1:13" x14ac:dyDescent="0.35">
      <c r="A33" s="242">
        <v>29</v>
      </c>
      <c r="B33" s="231">
        <v>46148</v>
      </c>
      <c r="C33" s="231">
        <v>46149</v>
      </c>
      <c r="D33" s="232">
        <v>0.83333333333333337</v>
      </c>
      <c r="E33" s="232">
        <v>0.33333333333333331</v>
      </c>
      <c r="F33" s="243">
        <v>370000</v>
      </c>
      <c r="G33" s="238">
        <f t="shared" si="0"/>
        <v>370000</v>
      </c>
      <c r="H33" s="216">
        <f t="shared" si="1"/>
        <v>0</v>
      </c>
      <c r="I33" s="136">
        <v>987264388560</v>
      </c>
      <c r="J33" s="136">
        <v>926128436228747</v>
      </c>
      <c r="K33" s="248" t="s">
        <v>15</v>
      </c>
      <c r="L33" s="218" t="s">
        <v>27</v>
      </c>
      <c r="M33" s="138" t="s">
        <v>13</v>
      </c>
    </row>
    <row r="34" spans="1:13" x14ac:dyDescent="0.35">
      <c r="A34" s="131">
        <v>30</v>
      </c>
      <c r="B34" s="240">
        <v>46148</v>
      </c>
      <c r="C34" s="240">
        <v>46148</v>
      </c>
      <c r="D34" s="133">
        <v>0.20833333333333334</v>
      </c>
      <c r="E34" s="133">
        <v>0.91666666666666663</v>
      </c>
      <c r="F34" s="244">
        <v>40000</v>
      </c>
      <c r="G34" s="239">
        <f t="shared" si="0"/>
        <v>40000</v>
      </c>
      <c r="H34" s="234">
        <f t="shared" si="1"/>
        <v>0</v>
      </c>
      <c r="I34" s="235">
        <v>987264434517</v>
      </c>
      <c r="J34" s="235">
        <v>926133437439444</v>
      </c>
      <c r="K34" s="249" t="s">
        <v>157</v>
      </c>
      <c r="L34" s="229" t="s">
        <v>27</v>
      </c>
      <c r="M34" s="245" t="s">
        <v>158</v>
      </c>
    </row>
    <row r="35" spans="1:13" x14ac:dyDescent="0.35">
      <c r="A35" s="242">
        <v>31</v>
      </c>
      <c r="B35" s="231">
        <v>46149</v>
      </c>
      <c r="C35" s="231">
        <v>46149</v>
      </c>
      <c r="D35" s="232">
        <v>0.33333333333333331</v>
      </c>
      <c r="E35" s="232">
        <v>0.83333333333333337</v>
      </c>
      <c r="F35" s="243">
        <v>281000</v>
      </c>
      <c r="G35" s="238">
        <f t="shared" si="0"/>
        <v>281000</v>
      </c>
      <c r="H35" s="216">
        <f t="shared" si="1"/>
        <v>0</v>
      </c>
      <c r="I35" s="136">
        <v>987264400652</v>
      </c>
      <c r="J35" s="136">
        <v>926130436466651</v>
      </c>
      <c r="K35" s="248" t="s">
        <v>19</v>
      </c>
      <c r="L35" s="218" t="s">
        <v>27</v>
      </c>
      <c r="M35" s="138" t="s">
        <v>21</v>
      </c>
    </row>
    <row r="36" spans="1:13" x14ac:dyDescent="0.35">
      <c r="A36" s="242">
        <v>32</v>
      </c>
      <c r="B36" s="231">
        <v>46149</v>
      </c>
      <c r="C36" s="231">
        <v>46149</v>
      </c>
      <c r="D36" s="232">
        <v>0.33333333333333331</v>
      </c>
      <c r="E36" s="232">
        <v>0.83333333333333337</v>
      </c>
      <c r="F36" s="243">
        <v>1136000</v>
      </c>
      <c r="G36" s="238">
        <f t="shared" si="0"/>
        <v>1136000</v>
      </c>
      <c r="H36" s="216">
        <f t="shared" si="1"/>
        <v>0</v>
      </c>
      <c r="I36" s="136">
        <v>987264400652</v>
      </c>
      <c r="J36" s="136">
        <v>926130436466651</v>
      </c>
      <c r="K36" s="248" t="s">
        <v>20</v>
      </c>
      <c r="L36" s="218" t="s">
        <v>27</v>
      </c>
      <c r="M36" s="138" t="s">
        <v>13</v>
      </c>
    </row>
    <row r="37" spans="1:13" x14ac:dyDescent="0.35">
      <c r="A37" s="242">
        <v>33</v>
      </c>
      <c r="B37" s="231">
        <v>46149</v>
      </c>
      <c r="C37" s="231">
        <v>46150</v>
      </c>
      <c r="D37" s="232">
        <v>0.83333333333333337</v>
      </c>
      <c r="E37" s="232">
        <v>0.33333333333333331</v>
      </c>
      <c r="F37" s="243">
        <v>232000</v>
      </c>
      <c r="G37" s="238">
        <f t="shared" si="0"/>
        <v>232000</v>
      </c>
      <c r="H37" s="216">
        <f t="shared" si="1"/>
        <v>0</v>
      </c>
      <c r="I37" s="136">
        <v>987264400652</v>
      </c>
      <c r="J37" s="136">
        <v>926130436466651</v>
      </c>
      <c r="K37" s="248" t="s">
        <v>154</v>
      </c>
      <c r="L37" s="218" t="s">
        <v>27</v>
      </c>
      <c r="M37" s="138" t="s">
        <v>21</v>
      </c>
    </row>
    <row r="38" spans="1:13" x14ac:dyDescent="0.35">
      <c r="A38" s="242">
        <v>34</v>
      </c>
      <c r="B38" s="231">
        <v>46149</v>
      </c>
      <c r="C38" s="231">
        <v>46150</v>
      </c>
      <c r="D38" s="232">
        <v>0.83333333333333337</v>
      </c>
      <c r="E38" s="232">
        <v>0.33333333333333331</v>
      </c>
      <c r="F38" s="243">
        <v>633000</v>
      </c>
      <c r="G38" s="238">
        <f t="shared" si="0"/>
        <v>633000</v>
      </c>
      <c r="H38" s="216">
        <f t="shared" si="1"/>
        <v>0</v>
      </c>
      <c r="I38" s="136">
        <v>987264400652</v>
      </c>
      <c r="J38" s="136">
        <v>926130436466651</v>
      </c>
      <c r="K38" s="248" t="s">
        <v>24</v>
      </c>
      <c r="L38" s="218" t="s">
        <v>27</v>
      </c>
      <c r="M38" s="138" t="s">
        <v>13</v>
      </c>
    </row>
    <row r="39" spans="1:13" x14ac:dyDescent="0.35">
      <c r="A39" s="131">
        <v>35</v>
      </c>
      <c r="B39" s="240">
        <v>46149</v>
      </c>
      <c r="C39" s="240">
        <v>46149</v>
      </c>
      <c r="D39" s="133">
        <v>0.20833333333333334</v>
      </c>
      <c r="E39" s="133">
        <v>0.91666666666666663</v>
      </c>
      <c r="F39" s="244">
        <v>58000</v>
      </c>
      <c r="G39" s="239">
        <f t="shared" si="0"/>
        <v>58000</v>
      </c>
      <c r="H39" s="234">
        <f t="shared" si="1"/>
        <v>0</v>
      </c>
      <c r="I39" s="235">
        <v>987264434521</v>
      </c>
      <c r="J39" s="235">
        <v>926133437439925</v>
      </c>
      <c r="K39" s="249" t="s">
        <v>157</v>
      </c>
      <c r="L39" s="229" t="s">
        <v>27</v>
      </c>
      <c r="M39" s="245" t="s">
        <v>158</v>
      </c>
    </row>
    <row r="40" spans="1:13" x14ac:dyDescent="0.35">
      <c r="A40" s="242">
        <v>36</v>
      </c>
      <c r="B40" s="231">
        <v>46150</v>
      </c>
      <c r="C40" s="231">
        <v>46150</v>
      </c>
      <c r="D40" s="232">
        <v>0.33333333333333331</v>
      </c>
      <c r="E40" s="232">
        <v>0.83333333333333337</v>
      </c>
      <c r="F40" s="243">
        <v>232000</v>
      </c>
      <c r="G40" s="238">
        <f t="shared" si="0"/>
        <v>232000</v>
      </c>
      <c r="H40" s="216">
        <f t="shared" si="1"/>
        <v>0</v>
      </c>
      <c r="I40" s="136">
        <v>987264424612</v>
      </c>
      <c r="J40" s="136">
        <v>926132436979414</v>
      </c>
      <c r="K40" s="248" t="s">
        <v>19</v>
      </c>
      <c r="L40" s="218" t="s">
        <v>27</v>
      </c>
      <c r="M40" s="138" t="s">
        <v>21</v>
      </c>
    </row>
    <row r="41" spans="1:13" x14ac:dyDescent="0.35">
      <c r="A41" s="242">
        <v>37</v>
      </c>
      <c r="B41" s="231">
        <v>46150</v>
      </c>
      <c r="C41" s="231">
        <v>46150</v>
      </c>
      <c r="D41" s="232">
        <v>0.33333333333333331</v>
      </c>
      <c r="E41" s="232">
        <v>0.83333333333333337</v>
      </c>
      <c r="F41" s="243">
        <v>1362000</v>
      </c>
      <c r="G41" s="238">
        <f t="shared" si="0"/>
        <v>1362000</v>
      </c>
      <c r="H41" s="216">
        <f t="shared" si="1"/>
        <v>0</v>
      </c>
      <c r="I41" s="136">
        <v>987264424612</v>
      </c>
      <c r="J41" s="136">
        <v>926132436979414</v>
      </c>
      <c r="K41" s="248" t="s">
        <v>20</v>
      </c>
      <c r="L41" s="218" t="s">
        <v>27</v>
      </c>
      <c r="M41" s="138" t="s">
        <v>13</v>
      </c>
    </row>
    <row r="42" spans="1:13" x14ac:dyDescent="0.35">
      <c r="A42" s="242">
        <v>38</v>
      </c>
      <c r="B42" s="231">
        <v>46150</v>
      </c>
      <c r="C42" s="231">
        <v>46151</v>
      </c>
      <c r="D42" s="232">
        <v>0.83333333333333337</v>
      </c>
      <c r="E42" s="232">
        <v>0.33333333333333331</v>
      </c>
      <c r="F42" s="243">
        <v>295000</v>
      </c>
      <c r="G42" s="238">
        <f t="shared" si="0"/>
        <v>295000</v>
      </c>
      <c r="H42" s="216">
        <f t="shared" si="1"/>
        <v>0</v>
      </c>
      <c r="I42" s="136">
        <v>987264424612</v>
      </c>
      <c r="J42" s="136">
        <v>926132436979414</v>
      </c>
      <c r="K42" s="248" t="s">
        <v>154</v>
      </c>
      <c r="L42" s="218" t="s">
        <v>27</v>
      </c>
      <c r="M42" s="138" t="s">
        <v>21</v>
      </c>
    </row>
    <row r="43" spans="1:13" x14ac:dyDescent="0.35">
      <c r="A43" s="242">
        <v>39</v>
      </c>
      <c r="B43" s="231">
        <v>46150</v>
      </c>
      <c r="C43" s="231">
        <v>46151</v>
      </c>
      <c r="D43" s="232">
        <v>0.83333333333333337</v>
      </c>
      <c r="E43" s="232">
        <v>0.33333333333333331</v>
      </c>
      <c r="F43" s="243">
        <v>471000</v>
      </c>
      <c r="G43" s="238">
        <f t="shared" si="0"/>
        <v>471000</v>
      </c>
      <c r="H43" s="216">
        <f t="shared" si="1"/>
        <v>0</v>
      </c>
      <c r="I43" s="136">
        <v>987264424612</v>
      </c>
      <c r="J43" s="136">
        <v>926132436979414</v>
      </c>
      <c r="K43" s="248" t="s">
        <v>24</v>
      </c>
      <c r="L43" s="218" t="s">
        <v>27</v>
      </c>
      <c r="M43" s="138" t="s">
        <v>13</v>
      </c>
    </row>
    <row r="44" spans="1:13" x14ac:dyDescent="0.35">
      <c r="A44" s="131">
        <v>40</v>
      </c>
      <c r="B44" s="240">
        <v>46150</v>
      </c>
      <c r="C44" s="240">
        <v>46150</v>
      </c>
      <c r="D44" s="133">
        <v>0.20833333333333334</v>
      </c>
      <c r="E44" s="133">
        <v>0.91666666666666663</v>
      </c>
      <c r="F44" s="244">
        <v>37000</v>
      </c>
      <c r="G44" s="239">
        <f t="shared" si="0"/>
        <v>37000</v>
      </c>
      <c r="H44" s="234">
        <f t="shared" si="1"/>
        <v>0</v>
      </c>
      <c r="I44" s="235">
        <v>987264434529</v>
      </c>
      <c r="J44" s="235">
        <v>926133437441489</v>
      </c>
      <c r="K44" s="249" t="s">
        <v>157</v>
      </c>
      <c r="L44" s="229" t="s">
        <v>27</v>
      </c>
      <c r="M44" s="245" t="s">
        <v>158</v>
      </c>
    </row>
    <row r="45" spans="1:13" x14ac:dyDescent="0.35">
      <c r="A45" s="242">
        <v>41</v>
      </c>
      <c r="B45" s="231">
        <v>46151</v>
      </c>
      <c r="C45" s="231">
        <v>46151</v>
      </c>
      <c r="D45" s="232">
        <v>0.33333333333333331</v>
      </c>
      <c r="E45" s="232">
        <v>0.83333333333333337</v>
      </c>
      <c r="F45" s="243">
        <v>268000</v>
      </c>
      <c r="G45" s="238">
        <f t="shared" si="0"/>
        <v>268000</v>
      </c>
      <c r="H45" s="216">
        <f t="shared" si="1"/>
        <v>0</v>
      </c>
      <c r="I45" s="136">
        <v>987264424607</v>
      </c>
      <c r="J45" s="136">
        <v>926132436979183</v>
      </c>
      <c r="K45" s="248" t="s">
        <v>166</v>
      </c>
      <c r="L45" s="218" t="s">
        <v>27</v>
      </c>
      <c r="M45" s="138" t="s">
        <v>21</v>
      </c>
    </row>
    <row r="46" spans="1:13" x14ac:dyDescent="0.35">
      <c r="A46" s="242">
        <v>42</v>
      </c>
      <c r="B46" s="231">
        <v>46151</v>
      </c>
      <c r="C46" s="231">
        <v>46151</v>
      </c>
      <c r="D46" s="232">
        <v>0.33333333333333331</v>
      </c>
      <c r="E46" s="232">
        <v>0.83333333333333337</v>
      </c>
      <c r="F46" s="243">
        <v>1054000</v>
      </c>
      <c r="G46" s="238">
        <f t="shared" si="0"/>
        <v>1054000</v>
      </c>
      <c r="H46" s="216">
        <f t="shared" si="1"/>
        <v>0</v>
      </c>
      <c r="I46" s="136">
        <v>987264424607</v>
      </c>
      <c r="J46" s="136">
        <v>926132436979183</v>
      </c>
      <c r="K46" s="248" t="s">
        <v>15</v>
      </c>
      <c r="L46" s="218" t="s">
        <v>27</v>
      </c>
      <c r="M46" s="138" t="s">
        <v>13</v>
      </c>
    </row>
    <row r="47" spans="1:13" x14ac:dyDescent="0.35">
      <c r="A47" s="242">
        <v>43</v>
      </c>
      <c r="B47" s="231">
        <v>46151</v>
      </c>
      <c r="C47" s="231">
        <v>46152</v>
      </c>
      <c r="D47" s="232">
        <v>0.83333333333333337</v>
      </c>
      <c r="E47" s="232">
        <v>0.33333333333333331</v>
      </c>
      <c r="F47" s="243">
        <v>130000</v>
      </c>
      <c r="G47" s="238">
        <f t="shared" si="0"/>
        <v>130000</v>
      </c>
      <c r="H47" s="216">
        <f t="shared" si="1"/>
        <v>0</v>
      </c>
      <c r="I47" s="136">
        <v>987264424607</v>
      </c>
      <c r="J47" s="136">
        <v>926132436979183</v>
      </c>
      <c r="K47" s="248" t="s">
        <v>19</v>
      </c>
      <c r="L47" s="218" t="s">
        <v>27</v>
      </c>
      <c r="M47" s="138" t="s">
        <v>21</v>
      </c>
    </row>
    <row r="48" spans="1:13" x14ac:dyDescent="0.35">
      <c r="A48" s="242">
        <v>44</v>
      </c>
      <c r="B48" s="231">
        <v>46151</v>
      </c>
      <c r="C48" s="231">
        <v>46152</v>
      </c>
      <c r="D48" s="232">
        <v>0.83333333333333337</v>
      </c>
      <c r="E48" s="232">
        <v>0.33333333333333331</v>
      </c>
      <c r="F48" s="243">
        <v>694000</v>
      </c>
      <c r="G48" s="238">
        <f t="shared" si="0"/>
        <v>694000</v>
      </c>
      <c r="H48" s="216">
        <f t="shared" si="1"/>
        <v>0</v>
      </c>
      <c r="I48" s="136">
        <v>987264424607</v>
      </c>
      <c r="J48" s="136">
        <v>926132436979183</v>
      </c>
      <c r="K48" s="248" t="s">
        <v>20</v>
      </c>
      <c r="L48" s="218" t="s">
        <v>27</v>
      </c>
      <c r="M48" s="138" t="s">
        <v>13</v>
      </c>
    </row>
    <row r="49" spans="1:13" x14ac:dyDescent="0.35">
      <c r="A49" s="131">
        <v>45</v>
      </c>
      <c r="B49" s="240">
        <v>46151</v>
      </c>
      <c r="C49" s="240">
        <v>46151</v>
      </c>
      <c r="D49" s="133">
        <v>0.20833333333333334</v>
      </c>
      <c r="E49" s="133">
        <v>0.91666666666666663</v>
      </c>
      <c r="F49" s="244">
        <v>97000</v>
      </c>
      <c r="G49" s="239">
        <f t="shared" si="0"/>
        <v>97000</v>
      </c>
      <c r="H49" s="234">
        <f t="shared" si="1"/>
        <v>0</v>
      </c>
      <c r="I49" s="235">
        <v>987264434532</v>
      </c>
      <c r="J49" s="235">
        <v>926133437441878</v>
      </c>
      <c r="K49" s="249" t="s">
        <v>157</v>
      </c>
      <c r="L49" s="229" t="s">
        <v>27</v>
      </c>
      <c r="M49" s="245" t="s">
        <v>158</v>
      </c>
    </row>
    <row r="50" spans="1:13" x14ac:dyDescent="0.35">
      <c r="A50" s="242">
        <v>46</v>
      </c>
      <c r="B50" s="231">
        <v>46152</v>
      </c>
      <c r="C50" s="231">
        <v>46152</v>
      </c>
      <c r="D50" s="232">
        <v>0.33333333333333331</v>
      </c>
      <c r="E50" s="232">
        <v>0.83333333333333337</v>
      </c>
      <c r="F50" s="243">
        <v>569000</v>
      </c>
      <c r="G50" s="238">
        <f t="shared" si="0"/>
        <v>569000</v>
      </c>
      <c r="H50" s="216">
        <f t="shared" si="1"/>
        <v>0</v>
      </c>
      <c r="I50" s="136">
        <v>987264426619</v>
      </c>
      <c r="J50" s="136">
        <v>9261324374477730</v>
      </c>
      <c r="K50" s="248" t="s">
        <v>166</v>
      </c>
      <c r="L50" s="218" t="s">
        <v>27</v>
      </c>
      <c r="M50" s="138" t="s">
        <v>21</v>
      </c>
    </row>
    <row r="51" spans="1:13" x14ac:dyDescent="0.35">
      <c r="A51" s="242">
        <v>47</v>
      </c>
      <c r="B51" s="231">
        <v>46152</v>
      </c>
      <c r="C51" s="231">
        <v>46152</v>
      </c>
      <c r="D51" s="232">
        <v>0.33333333333333331</v>
      </c>
      <c r="E51" s="232">
        <v>0.83333333333333337</v>
      </c>
      <c r="F51" s="243">
        <v>1705000</v>
      </c>
      <c r="G51" s="238">
        <f t="shared" si="0"/>
        <v>1705000</v>
      </c>
      <c r="H51" s="216">
        <f t="shared" si="1"/>
        <v>0</v>
      </c>
      <c r="I51" s="136">
        <v>987264426619</v>
      </c>
      <c r="J51" s="136">
        <v>9261324374477730</v>
      </c>
      <c r="K51" s="248" t="s">
        <v>15</v>
      </c>
      <c r="L51" s="218" t="s">
        <v>27</v>
      </c>
      <c r="M51" s="138" t="s">
        <v>21</v>
      </c>
    </row>
    <row r="52" spans="1:13" x14ac:dyDescent="0.35">
      <c r="A52" s="242">
        <v>48</v>
      </c>
      <c r="B52" s="231">
        <v>46152</v>
      </c>
      <c r="C52" s="231">
        <v>46153</v>
      </c>
      <c r="D52" s="232">
        <v>0.83333333333333337</v>
      </c>
      <c r="E52" s="232">
        <v>0.33333333333333331</v>
      </c>
      <c r="F52" s="243">
        <v>339000</v>
      </c>
      <c r="G52" s="238">
        <f t="shared" si="0"/>
        <v>339000</v>
      </c>
      <c r="H52" s="216">
        <f t="shared" si="1"/>
        <v>0</v>
      </c>
      <c r="I52" s="136">
        <v>987264426619</v>
      </c>
      <c r="J52" s="136">
        <v>9261324374477730</v>
      </c>
      <c r="K52" s="248" t="s">
        <v>19</v>
      </c>
      <c r="L52" s="218" t="s">
        <v>27</v>
      </c>
      <c r="M52" s="138" t="s">
        <v>21</v>
      </c>
    </row>
    <row r="53" spans="1:13" x14ac:dyDescent="0.35">
      <c r="A53" s="242">
        <v>49</v>
      </c>
      <c r="B53" s="231">
        <v>46152</v>
      </c>
      <c r="C53" s="231">
        <v>46153</v>
      </c>
      <c r="D53" s="232">
        <v>0.83333333333333337</v>
      </c>
      <c r="E53" s="232">
        <v>0.33333333333333331</v>
      </c>
      <c r="F53" s="243">
        <v>697000</v>
      </c>
      <c r="G53" s="238">
        <f t="shared" si="0"/>
        <v>697000</v>
      </c>
      <c r="H53" s="216">
        <f t="shared" si="1"/>
        <v>0</v>
      </c>
      <c r="I53" s="136">
        <v>987264426619</v>
      </c>
      <c r="J53" s="136">
        <v>9261324374477730</v>
      </c>
      <c r="K53" s="248" t="s">
        <v>20</v>
      </c>
      <c r="L53" s="218" t="s">
        <v>27</v>
      </c>
      <c r="M53" s="138" t="s">
        <v>13</v>
      </c>
    </row>
    <row r="54" spans="1:13" x14ac:dyDescent="0.35">
      <c r="A54" s="131">
        <v>50</v>
      </c>
      <c r="B54" s="240">
        <v>46152</v>
      </c>
      <c r="C54" s="240">
        <v>46152</v>
      </c>
      <c r="D54" s="133">
        <v>0.20833333333333334</v>
      </c>
      <c r="E54" s="133">
        <v>0.91666666666666663</v>
      </c>
      <c r="F54" s="244">
        <v>46000</v>
      </c>
      <c r="G54" s="239">
        <f t="shared" si="0"/>
        <v>46000</v>
      </c>
      <c r="H54" s="234">
        <f t="shared" si="1"/>
        <v>0</v>
      </c>
      <c r="I54" s="235">
        <v>987264434535</v>
      </c>
      <c r="J54" s="235">
        <v>926133437440458</v>
      </c>
      <c r="K54" s="249" t="s">
        <v>157</v>
      </c>
      <c r="L54" s="229" t="s">
        <v>27</v>
      </c>
      <c r="M54" s="245" t="s">
        <v>158</v>
      </c>
    </row>
    <row r="55" spans="1:13" x14ac:dyDescent="0.35">
      <c r="A55" s="242">
        <v>51</v>
      </c>
      <c r="B55" s="231">
        <v>46153</v>
      </c>
      <c r="C55" s="231">
        <v>46153</v>
      </c>
      <c r="D55" s="232">
        <v>0.33333333333333331</v>
      </c>
      <c r="E55" s="232">
        <v>0.83333333333333337</v>
      </c>
      <c r="F55" s="243">
        <v>370000</v>
      </c>
      <c r="G55" s="238">
        <f t="shared" si="0"/>
        <v>370000</v>
      </c>
      <c r="H55" s="216">
        <f t="shared" si="1"/>
        <v>0</v>
      </c>
      <c r="I55" s="136">
        <v>987264434475</v>
      </c>
      <c r="J55" s="136">
        <v>926134437711985</v>
      </c>
      <c r="K55" s="248" t="s">
        <v>154</v>
      </c>
      <c r="L55" s="218" t="s">
        <v>27</v>
      </c>
      <c r="M55" s="138" t="s">
        <v>21</v>
      </c>
    </row>
    <row r="56" spans="1:13" x14ac:dyDescent="0.35">
      <c r="A56" s="242">
        <v>52</v>
      </c>
      <c r="B56" s="231">
        <v>46153</v>
      </c>
      <c r="C56" s="231">
        <v>46153</v>
      </c>
      <c r="D56" s="232">
        <v>0.33333333333333331</v>
      </c>
      <c r="E56" s="232">
        <v>0.83333333333333337</v>
      </c>
      <c r="F56" s="243">
        <v>1514000</v>
      </c>
      <c r="G56" s="238">
        <f t="shared" si="0"/>
        <v>1514000</v>
      </c>
      <c r="H56" s="216">
        <f t="shared" si="1"/>
        <v>0</v>
      </c>
      <c r="I56" s="136">
        <v>987264434475</v>
      </c>
      <c r="J56" s="136">
        <v>926134437711985</v>
      </c>
      <c r="K56" s="248" t="s">
        <v>24</v>
      </c>
      <c r="L56" s="218" t="s">
        <v>27</v>
      </c>
      <c r="M56" s="138" t="s">
        <v>13</v>
      </c>
    </row>
    <row r="57" spans="1:13" x14ac:dyDescent="0.35">
      <c r="A57" s="242">
        <v>53</v>
      </c>
      <c r="B57" s="231">
        <v>46153</v>
      </c>
      <c r="C57" s="231">
        <v>46154</v>
      </c>
      <c r="D57" s="232">
        <v>0.83333333333333337</v>
      </c>
      <c r="E57" s="232">
        <v>0.33333333333333331</v>
      </c>
      <c r="F57" s="243">
        <v>115000</v>
      </c>
      <c r="G57" s="238">
        <f t="shared" si="0"/>
        <v>115000</v>
      </c>
      <c r="H57" s="216">
        <f t="shared" si="1"/>
        <v>0</v>
      </c>
      <c r="I57" s="136">
        <v>987264434475</v>
      </c>
      <c r="J57" s="136">
        <v>926134437711985</v>
      </c>
      <c r="K57" s="248" t="s">
        <v>166</v>
      </c>
      <c r="L57" s="218" t="s">
        <v>27</v>
      </c>
      <c r="M57" s="138" t="s">
        <v>21</v>
      </c>
    </row>
    <row r="58" spans="1:13" x14ac:dyDescent="0.35">
      <c r="A58" s="242">
        <v>54</v>
      </c>
      <c r="B58" s="231">
        <v>46153</v>
      </c>
      <c r="C58" s="231">
        <v>46154</v>
      </c>
      <c r="D58" s="232">
        <v>0.83333333333333337</v>
      </c>
      <c r="E58" s="232">
        <v>0.33333333333333331</v>
      </c>
      <c r="F58" s="243">
        <v>490000</v>
      </c>
      <c r="G58" s="238">
        <f t="shared" si="0"/>
        <v>490000</v>
      </c>
      <c r="H58" s="216">
        <f t="shared" si="1"/>
        <v>0</v>
      </c>
      <c r="I58" s="136">
        <v>987264434475</v>
      </c>
      <c r="J58" s="136">
        <v>926134437711985</v>
      </c>
      <c r="K58" s="248" t="s">
        <v>15</v>
      </c>
      <c r="L58" s="218" t="s">
        <v>27</v>
      </c>
      <c r="M58" s="138" t="s">
        <v>13</v>
      </c>
    </row>
    <row r="59" spans="1:13" x14ac:dyDescent="0.35">
      <c r="A59" s="131">
        <v>55</v>
      </c>
      <c r="B59" s="240">
        <v>46153</v>
      </c>
      <c r="C59" s="240">
        <v>46153</v>
      </c>
      <c r="D59" s="133">
        <v>0.20833333333333334</v>
      </c>
      <c r="E59" s="133">
        <v>0.91666666666666663</v>
      </c>
      <c r="F59" s="244">
        <v>63000</v>
      </c>
      <c r="G59" s="239">
        <f t="shared" si="0"/>
        <v>63000</v>
      </c>
      <c r="H59" s="234">
        <f t="shared" si="1"/>
        <v>0</v>
      </c>
      <c r="I59" s="235">
        <v>987264568951</v>
      </c>
      <c r="J59" s="235">
        <v>926146441335193</v>
      </c>
      <c r="K59" s="249" t="s">
        <v>163</v>
      </c>
      <c r="L59" s="229" t="s">
        <v>27</v>
      </c>
      <c r="M59" s="245" t="s">
        <v>158</v>
      </c>
    </row>
    <row r="60" spans="1:13" x14ac:dyDescent="0.35">
      <c r="A60" s="242">
        <v>56</v>
      </c>
      <c r="B60" s="231">
        <v>46154</v>
      </c>
      <c r="C60" s="231">
        <v>46154</v>
      </c>
      <c r="D60" s="232">
        <v>0.33333333333333331</v>
      </c>
      <c r="E60" s="232">
        <v>0.83333333333333337</v>
      </c>
      <c r="F60" s="243">
        <v>537000</v>
      </c>
      <c r="G60" s="238">
        <f t="shared" si="0"/>
        <v>537000</v>
      </c>
      <c r="H60" s="216">
        <f t="shared" si="1"/>
        <v>0</v>
      </c>
      <c r="I60" s="136">
        <v>987264446490</v>
      </c>
      <c r="J60" s="136">
        <v>926135438048969</v>
      </c>
      <c r="K60" s="248" t="s">
        <v>154</v>
      </c>
      <c r="L60" s="218" t="s">
        <v>27</v>
      </c>
      <c r="M60" s="138" t="s">
        <v>21</v>
      </c>
    </row>
    <row r="61" spans="1:13" x14ac:dyDescent="0.35">
      <c r="A61" s="242">
        <v>57</v>
      </c>
      <c r="B61" s="231">
        <v>46154</v>
      </c>
      <c r="C61" s="231">
        <v>46154</v>
      </c>
      <c r="D61" s="232">
        <v>0.33333333333333331</v>
      </c>
      <c r="E61" s="232">
        <v>0.83333333333333337</v>
      </c>
      <c r="F61" s="243">
        <v>985000</v>
      </c>
      <c r="G61" s="238">
        <f t="shared" si="0"/>
        <v>985000</v>
      </c>
      <c r="H61" s="216">
        <f t="shared" si="1"/>
        <v>0</v>
      </c>
      <c r="I61" s="136">
        <v>987264446490</v>
      </c>
      <c r="J61" s="136">
        <v>926135438048969</v>
      </c>
      <c r="K61" s="248" t="s">
        <v>24</v>
      </c>
      <c r="L61" s="218" t="s">
        <v>27</v>
      </c>
      <c r="M61" s="138" t="s">
        <v>13</v>
      </c>
    </row>
    <row r="62" spans="1:13" x14ac:dyDescent="0.35">
      <c r="A62" s="242">
        <v>58</v>
      </c>
      <c r="B62" s="231">
        <v>46154</v>
      </c>
      <c r="C62" s="231">
        <v>46155</v>
      </c>
      <c r="D62" s="232">
        <v>0.83333333333333337</v>
      </c>
      <c r="E62" s="232">
        <v>0.33333333333333331</v>
      </c>
      <c r="F62" s="243">
        <v>367000</v>
      </c>
      <c r="G62" s="238">
        <f t="shared" si="0"/>
        <v>367000</v>
      </c>
      <c r="H62" s="216">
        <f t="shared" si="1"/>
        <v>0</v>
      </c>
      <c r="I62" s="136">
        <v>987264446490</v>
      </c>
      <c r="J62" s="136">
        <v>926135438048969</v>
      </c>
      <c r="K62" s="248" t="s">
        <v>166</v>
      </c>
      <c r="L62" s="218" t="s">
        <v>27</v>
      </c>
      <c r="M62" s="138" t="s">
        <v>21</v>
      </c>
    </row>
    <row r="63" spans="1:13" x14ac:dyDescent="0.35">
      <c r="A63" s="242">
        <v>59</v>
      </c>
      <c r="B63" s="231">
        <v>46154</v>
      </c>
      <c r="C63" s="231">
        <v>46155</v>
      </c>
      <c r="D63" s="232">
        <v>0.83333333333333337</v>
      </c>
      <c r="E63" s="232">
        <v>0.33333333333333331</v>
      </c>
      <c r="F63" s="243">
        <v>324000</v>
      </c>
      <c r="G63" s="238">
        <f t="shared" si="0"/>
        <v>324000</v>
      </c>
      <c r="H63" s="216">
        <f t="shared" si="1"/>
        <v>0</v>
      </c>
      <c r="I63" s="136">
        <v>987264446490</v>
      </c>
      <c r="J63" s="136">
        <v>926135438048969</v>
      </c>
      <c r="K63" s="248" t="s">
        <v>15</v>
      </c>
      <c r="L63" s="218" t="s">
        <v>27</v>
      </c>
      <c r="M63" s="138" t="s">
        <v>13</v>
      </c>
    </row>
    <row r="64" spans="1:13" x14ac:dyDescent="0.35">
      <c r="A64" s="131">
        <v>60</v>
      </c>
      <c r="B64" s="240">
        <v>46154</v>
      </c>
      <c r="C64" s="240">
        <v>46154</v>
      </c>
      <c r="D64" s="133">
        <v>0.20833333333333334</v>
      </c>
      <c r="E64" s="133">
        <v>0.91666666666666663</v>
      </c>
      <c r="F64" s="244">
        <v>41000</v>
      </c>
      <c r="G64" s="239">
        <f t="shared" si="0"/>
        <v>41000</v>
      </c>
      <c r="H64" s="234">
        <f t="shared" si="1"/>
        <v>0</v>
      </c>
      <c r="I64" s="235">
        <v>987264569001</v>
      </c>
      <c r="J64" s="235">
        <v>926146441335421</v>
      </c>
      <c r="K64" s="249" t="s">
        <v>163</v>
      </c>
      <c r="L64" s="229" t="s">
        <v>27</v>
      </c>
      <c r="M64" s="245" t="s">
        <v>158</v>
      </c>
    </row>
    <row r="65" spans="1:13" x14ac:dyDescent="0.35">
      <c r="A65" s="242">
        <v>61</v>
      </c>
      <c r="B65" s="231">
        <v>46155</v>
      </c>
      <c r="C65" s="231">
        <v>46155</v>
      </c>
      <c r="D65" s="232">
        <v>0.33333333333333331</v>
      </c>
      <c r="E65" s="232">
        <v>0.83333333333333337</v>
      </c>
      <c r="F65" s="243">
        <v>237000</v>
      </c>
      <c r="G65" s="238">
        <f t="shared" si="0"/>
        <v>237000</v>
      </c>
      <c r="H65" s="216">
        <f t="shared" si="1"/>
        <v>0</v>
      </c>
      <c r="I65" s="136">
        <v>987264459486</v>
      </c>
      <c r="J65" s="136">
        <v>926135438385096</v>
      </c>
      <c r="K65" s="248" t="s">
        <v>19</v>
      </c>
      <c r="L65" s="218" t="s">
        <v>27</v>
      </c>
      <c r="M65" s="138" t="s">
        <v>21</v>
      </c>
    </row>
    <row r="66" spans="1:13" x14ac:dyDescent="0.35">
      <c r="A66" s="242">
        <v>62</v>
      </c>
      <c r="B66" s="231">
        <v>46155</v>
      </c>
      <c r="C66" s="231">
        <v>46155</v>
      </c>
      <c r="D66" s="232">
        <v>0.33333333333333331</v>
      </c>
      <c r="E66" s="232">
        <v>0.83333333333333337</v>
      </c>
      <c r="F66" s="243">
        <v>1160000</v>
      </c>
      <c r="G66" s="238">
        <f t="shared" si="0"/>
        <v>1160000</v>
      </c>
      <c r="H66" s="216">
        <f t="shared" si="1"/>
        <v>0</v>
      </c>
      <c r="I66" s="136">
        <v>987264459486</v>
      </c>
      <c r="J66" s="136">
        <v>926135438385096</v>
      </c>
      <c r="K66" s="248" t="s">
        <v>20</v>
      </c>
      <c r="L66" s="218" t="s">
        <v>27</v>
      </c>
      <c r="M66" s="138" t="s">
        <v>13</v>
      </c>
    </row>
    <row r="67" spans="1:13" x14ac:dyDescent="0.35">
      <c r="A67" s="242">
        <v>63</v>
      </c>
      <c r="B67" s="231">
        <v>46155</v>
      </c>
      <c r="C67" s="231">
        <v>46156</v>
      </c>
      <c r="D67" s="232">
        <v>0.83333333333333337</v>
      </c>
      <c r="E67" s="232">
        <v>0.33333333333333331</v>
      </c>
      <c r="F67" s="243">
        <v>182000</v>
      </c>
      <c r="G67" s="238">
        <f t="shared" si="0"/>
        <v>182000</v>
      </c>
      <c r="H67" s="216">
        <f t="shared" si="1"/>
        <v>0</v>
      </c>
      <c r="I67" s="136">
        <v>987264459486</v>
      </c>
      <c r="J67" s="136">
        <v>926135438385096</v>
      </c>
      <c r="K67" s="248" t="s">
        <v>154</v>
      </c>
      <c r="L67" s="218" t="s">
        <v>27</v>
      </c>
      <c r="M67" s="138" t="s">
        <v>21</v>
      </c>
    </row>
    <row r="68" spans="1:13" x14ac:dyDescent="0.35">
      <c r="A68" s="242">
        <v>64</v>
      </c>
      <c r="B68" s="231">
        <v>46155</v>
      </c>
      <c r="C68" s="231">
        <v>46156</v>
      </c>
      <c r="D68" s="232">
        <v>0.83333333333333337</v>
      </c>
      <c r="E68" s="232">
        <v>0.33333333333333331</v>
      </c>
      <c r="F68" s="243">
        <v>444000</v>
      </c>
      <c r="G68" s="238">
        <f t="shared" si="0"/>
        <v>444000</v>
      </c>
      <c r="H68" s="216">
        <f t="shared" si="1"/>
        <v>0</v>
      </c>
      <c r="I68" s="136">
        <v>987264459486</v>
      </c>
      <c r="J68" s="136">
        <v>926135438385096</v>
      </c>
      <c r="K68" s="248" t="s">
        <v>24</v>
      </c>
      <c r="L68" s="218" t="s">
        <v>27</v>
      </c>
      <c r="M68" s="138" t="s">
        <v>96</v>
      </c>
    </row>
    <row r="69" spans="1:13" x14ac:dyDescent="0.35">
      <c r="A69" s="131">
        <v>65</v>
      </c>
      <c r="B69" s="240">
        <v>46155</v>
      </c>
      <c r="C69" s="240">
        <v>46155</v>
      </c>
      <c r="D69" s="133">
        <v>0.20833333333333334</v>
      </c>
      <c r="E69" s="133">
        <v>0.91666666666666663</v>
      </c>
      <c r="F69" s="244">
        <v>37000</v>
      </c>
      <c r="G69" s="239">
        <f t="shared" si="0"/>
        <v>37000</v>
      </c>
      <c r="H69" s="234">
        <f t="shared" si="1"/>
        <v>0</v>
      </c>
      <c r="I69" s="235">
        <v>987264569018</v>
      </c>
      <c r="J69" s="235">
        <v>926146441335726</v>
      </c>
      <c r="K69" s="249" t="s">
        <v>163</v>
      </c>
      <c r="L69" s="229" t="s">
        <v>27</v>
      </c>
      <c r="M69" s="245" t="s">
        <v>158</v>
      </c>
    </row>
    <row r="70" spans="1:13" x14ac:dyDescent="0.35">
      <c r="A70" s="242">
        <v>66</v>
      </c>
      <c r="B70" s="231">
        <v>46156</v>
      </c>
      <c r="C70" s="231">
        <v>46156</v>
      </c>
      <c r="D70" s="232">
        <v>0.33333333333333331</v>
      </c>
      <c r="E70" s="232">
        <v>0.83333333333333337</v>
      </c>
      <c r="F70" s="243">
        <v>177000</v>
      </c>
      <c r="G70" s="238">
        <f t="shared" si="0"/>
        <v>177000</v>
      </c>
      <c r="H70" s="216">
        <f t="shared" si="1"/>
        <v>0</v>
      </c>
      <c r="I70" s="136">
        <v>987264477895</v>
      </c>
      <c r="J70" s="136">
        <v>926138438696963</v>
      </c>
      <c r="K70" s="248" t="s">
        <v>19</v>
      </c>
      <c r="L70" s="218" t="s">
        <v>27</v>
      </c>
      <c r="M70" s="138" t="s">
        <v>21</v>
      </c>
    </row>
    <row r="71" spans="1:13" x14ac:dyDescent="0.35">
      <c r="A71" s="242">
        <v>67</v>
      </c>
      <c r="B71" s="231">
        <v>46156</v>
      </c>
      <c r="C71" s="231">
        <v>46156</v>
      </c>
      <c r="D71" s="232">
        <v>0.33333333333333331</v>
      </c>
      <c r="E71" s="232">
        <v>0.83333333333333337</v>
      </c>
      <c r="F71" s="243">
        <v>1046000</v>
      </c>
      <c r="G71" s="238">
        <f t="shared" si="0"/>
        <v>1046000</v>
      </c>
      <c r="H71" s="216">
        <f t="shared" si="1"/>
        <v>0</v>
      </c>
      <c r="I71" s="136">
        <v>987264477895</v>
      </c>
      <c r="J71" s="136">
        <v>926138438696963</v>
      </c>
      <c r="K71" s="248" t="s">
        <v>20</v>
      </c>
      <c r="L71" s="218" t="s">
        <v>27</v>
      </c>
      <c r="M71" s="138" t="s">
        <v>13</v>
      </c>
    </row>
    <row r="72" spans="1:13" x14ac:dyDescent="0.35">
      <c r="A72" s="242">
        <v>68</v>
      </c>
      <c r="B72" s="231">
        <v>46156</v>
      </c>
      <c r="C72" s="231">
        <v>46157</v>
      </c>
      <c r="D72" s="232">
        <v>0.83333333333333337</v>
      </c>
      <c r="E72" s="232">
        <v>0.33333333333333331</v>
      </c>
      <c r="F72" s="243">
        <v>173000</v>
      </c>
      <c r="G72" s="238">
        <f t="shared" si="0"/>
        <v>173000</v>
      </c>
      <c r="H72" s="216">
        <f t="shared" si="1"/>
        <v>0</v>
      </c>
      <c r="I72" s="136">
        <v>987264477895</v>
      </c>
      <c r="J72" s="136">
        <v>926138438696963</v>
      </c>
      <c r="K72" s="248" t="s">
        <v>154</v>
      </c>
      <c r="L72" s="218" t="s">
        <v>27</v>
      </c>
      <c r="M72" s="138" t="s">
        <v>21</v>
      </c>
    </row>
    <row r="73" spans="1:13" x14ac:dyDescent="0.35">
      <c r="A73" s="242">
        <v>69</v>
      </c>
      <c r="B73" s="231">
        <v>46156</v>
      </c>
      <c r="C73" s="231">
        <v>46157</v>
      </c>
      <c r="D73" s="232">
        <v>0.83333333333333337</v>
      </c>
      <c r="E73" s="232">
        <v>0.33333333333333331</v>
      </c>
      <c r="F73" s="243">
        <v>594000</v>
      </c>
      <c r="G73" s="238">
        <f t="shared" si="0"/>
        <v>594000</v>
      </c>
      <c r="H73" s="216">
        <f t="shared" si="1"/>
        <v>0</v>
      </c>
      <c r="I73" s="136">
        <v>987264477895</v>
      </c>
      <c r="J73" s="136">
        <v>926138438696963</v>
      </c>
      <c r="K73" s="248" t="s">
        <v>24</v>
      </c>
      <c r="L73" s="218" t="s">
        <v>27</v>
      </c>
      <c r="M73" s="138" t="s">
        <v>13</v>
      </c>
    </row>
    <row r="74" spans="1:13" x14ac:dyDescent="0.35">
      <c r="A74" s="218">
        <v>70</v>
      </c>
      <c r="B74" s="240">
        <v>46156</v>
      </c>
      <c r="C74" s="240">
        <v>46156</v>
      </c>
      <c r="D74" s="133">
        <v>0.20833333333333334</v>
      </c>
      <c r="E74" s="133">
        <v>0.91666666666666663</v>
      </c>
      <c r="F74" s="244">
        <v>51000</v>
      </c>
      <c r="G74" s="239">
        <f t="shared" si="0"/>
        <v>51000</v>
      </c>
      <c r="H74" s="234">
        <f t="shared" si="1"/>
        <v>0</v>
      </c>
      <c r="I74" s="235">
        <v>987264569020</v>
      </c>
      <c r="J74" s="235">
        <v>926146441336621</v>
      </c>
      <c r="K74" s="249" t="s">
        <v>163</v>
      </c>
      <c r="L74" s="229" t="s">
        <v>27</v>
      </c>
      <c r="M74" s="245" t="s">
        <v>158</v>
      </c>
    </row>
    <row r="75" spans="1:13" x14ac:dyDescent="0.35">
      <c r="A75" s="242">
        <v>71</v>
      </c>
      <c r="B75" s="231">
        <v>46157</v>
      </c>
      <c r="C75" s="231">
        <v>46157</v>
      </c>
      <c r="D75" s="232">
        <v>0.33333333333333331</v>
      </c>
      <c r="E75" s="232">
        <v>0.83333333333333337</v>
      </c>
      <c r="F75" s="243">
        <v>221000</v>
      </c>
      <c r="G75" s="238">
        <f t="shared" si="0"/>
        <v>221000</v>
      </c>
      <c r="H75" s="216">
        <f t="shared" si="1"/>
        <v>0</v>
      </c>
      <c r="I75" s="136">
        <v>987264477896</v>
      </c>
      <c r="J75" s="136">
        <v>926138438697058</v>
      </c>
      <c r="K75" s="248" t="s">
        <v>166</v>
      </c>
      <c r="L75" s="218" t="s">
        <v>27</v>
      </c>
      <c r="M75" s="138" t="s">
        <v>21</v>
      </c>
    </row>
    <row r="76" spans="1:13" x14ac:dyDescent="0.35">
      <c r="A76" s="242">
        <v>72</v>
      </c>
      <c r="B76" s="231">
        <v>46157</v>
      </c>
      <c r="C76" s="231">
        <v>46157</v>
      </c>
      <c r="D76" s="232">
        <v>0.33333333333333331</v>
      </c>
      <c r="E76" s="232">
        <v>0.83333333333333337</v>
      </c>
      <c r="F76" s="243">
        <v>1457000</v>
      </c>
      <c r="G76" s="238">
        <f t="shared" si="0"/>
        <v>1457000</v>
      </c>
      <c r="H76" s="216">
        <f t="shared" si="1"/>
        <v>0</v>
      </c>
      <c r="I76" s="136">
        <v>987264477896</v>
      </c>
      <c r="J76" s="136">
        <v>926138438697058</v>
      </c>
      <c r="K76" s="248" t="s">
        <v>15</v>
      </c>
      <c r="L76" s="218" t="s">
        <v>27</v>
      </c>
      <c r="M76" s="138" t="s">
        <v>13</v>
      </c>
    </row>
    <row r="77" spans="1:13" x14ac:dyDescent="0.35">
      <c r="A77" s="242">
        <v>73</v>
      </c>
      <c r="B77" s="231">
        <v>46157</v>
      </c>
      <c r="C77" s="231">
        <v>46158</v>
      </c>
      <c r="D77" s="232">
        <v>0.83333333333333337</v>
      </c>
      <c r="E77" s="232">
        <v>0.33333333333333331</v>
      </c>
      <c r="F77" s="243">
        <v>137000</v>
      </c>
      <c r="G77" s="238">
        <f t="shared" si="0"/>
        <v>137000</v>
      </c>
      <c r="H77" s="216">
        <f t="shared" si="1"/>
        <v>0</v>
      </c>
      <c r="I77" s="136">
        <v>987264477896</v>
      </c>
      <c r="J77" s="136">
        <v>926138438697058</v>
      </c>
      <c r="K77" s="248" t="s">
        <v>19</v>
      </c>
      <c r="L77" s="218" t="s">
        <v>27</v>
      </c>
      <c r="M77" s="138" t="s">
        <v>21</v>
      </c>
    </row>
    <row r="78" spans="1:13" x14ac:dyDescent="0.35">
      <c r="A78" s="242">
        <v>74</v>
      </c>
      <c r="B78" s="231">
        <v>46157</v>
      </c>
      <c r="C78" s="231">
        <v>46158</v>
      </c>
      <c r="D78" s="232">
        <v>0.83333333333333337</v>
      </c>
      <c r="E78" s="232">
        <v>0.33333333333333331</v>
      </c>
      <c r="F78" s="243">
        <v>581000</v>
      </c>
      <c r="G78" s="238">
        <f t="shared" si="0"/>
        <v>581000</v>
      </c>
      <c r="H78" s="216">
        <f t="shared" si="1"/>
        <v>0</v>
      </c>
      <c r="I78" s="136">
        <v>987264477896</v>
      </c>
      <c r="J78" s="136">
        <v>926138438697058</v>
      </c>
      <c r="K78" s="248" t="s">
        <v>20</v>
      </c>
      <c r="L78" s="218" t="s">
        <v>27</v>
      </c>
      <c r="M78" s="138" t="s">
        <v>13</v>
      </c>
    </row>
    <row r="79" spans="1:13" x14ac:dyDescent="0.35">
      <c r="A79" s="131">
        <v>75</v>
      </c>
      <c r="B79" s="240">
        <v>46157</v>
      </c>
      <c r="C79" s="240">
        <v>46157</v>
      </c>
      <c r="D79" s="133">
        <v>0.20833333333333334</v>
      </c>
      <c r="E79" s="133">
        <v>0.91666666666666663</v>
      </c>
      <c r="F79" s="239">
        <v>50000</v>
      </c>
      <c r="G79" s="233">
        <f t="shared" si="0"/>
        <v>50000</v>
      </c>
      <c r="H79" s="234">
        <f t="shared" ref="H79" si="2">F79-G79</f>
        <v>0</v>
      </c>
      <c r="I79" s="235">
        <v>987264569025</v>
      </c>
      <c r="J79" s="235">
        <v>926146441336879</v>
      </c>
      <c r="K79" s="249" t="s">
        <v>163</v>
      </c>
      <c r="L79" s="229" t="s">
        <v>27</v>
      </c>
      <c r="M79" s="237" t="s">
        <v>158</v>
      </c>
    </row>
    <row r="80" spans="1:13" x14ac:dyDescent="0.35">
      <c r="A80" s="242">
        <v>76</v>
      </c>
      <c r="B80" s="231">
        <v>46158</v>
      </c>
      <c r="C80" s="231">
        <v>46158</v>
      </c>
      <c r="D80" s="232">
        <v>0.33333333333333331</v>
      </c>
      <c r="E80" s="232">
        <v>0.83333333333333337</v>
      </c>
      <c r="F80" s="243">
        <v>184000</v>
      </c>
      <c r="G80" s="238">
        <f t="shared" si="0"/>
        <v>184000</v>
      </c>
      <c r="H80" s="216">
        <f t="shared" si="1"/>
        <v>0</v>
      </c>
      <c r="I80" s="136">
        <v>987264494360</v>
      </c>
      <c r="J80" s="136">
        <v>926139439205238</v>
      </c>
      <c r="K80" s="248" t="s">
        <v>166</v>
      </c>
      <c r="L80" s="218" t="s">
        <v>27</v>
      </c>
      <c r="M80" s="138" t="s">
        <v>21</v>
      </c>
    </row>
    <row r="81" spans="1:13" x14ac:dyDescent="0.35">
      <c r="A81" s="242">
        <v>77</v>
      </c>
      <c r="B81" s="231">
        <v>46158</v>
      </c>
      <c r="C81" s="231">
        <v>46158</v>
      </c>
      <c r="D81" s="232">
        <v>0.33333333333333331</v>
      </c>
      <c r="E81" s="232">
        <v>0.83333333333333337</v>
      </c>
      <c r="F81" s="243">
        <v>1087000</v>
      </c>
      <c r="G81" s="238">
        <f t="shared" si="0"/>
        <v>1087000</v>
      </c>
      <c r="H81" s="216">
        <f t="shared" si="1"/>
        <v>0</v>
      </c>
      <c r="I81" s="136">
        <v>987264494360</v>
      </c>
      <c r="J81" s="136">
        <v>926139439205238</v>
      </c>
      <c r="K81" s="248" t="s">
        <v>15</v>
      </c>
      <c r="L81" s="218" t="s">
        <v>27</v>
      </c>
      <c r="M81" s="138" t="s">
        <v>13</v>
      </c>
    </row>
    <row r="82" spans="1:13" x14ac:dyDescent="0.35">
      <c r="A82" s="242">
        <v>78</v>
      </c>
      <c r="B82" s="231">
        <v>46158</v>
      </c>
      <c r="C82" s="231">
        <v>46159</v>
      </c>
      <c r="D82" s="232">
        <v>0.83333333333333337</v>
      </c>
      <c r="E82" s="232">
        <v>0.33333333333333331</v>
      </c>
      <c r="F82" s="243">
        <v>233000</v>
      </c>
      <c r="G82" s="238">
        <f t="shared" si="0"/>
        <v>233000</v>
      </c>
      <c r="H82" s="216">
        <f t="shared" ref="H82:H106" si="3">F82-G82</f>
        <v>0</v>
      </c>
      <c r="I82" s="136">
        <v>987264494360</v>
      </c>
      <c r="J82" s="136">
        <v>926139439205238</v>
      </c>
      <c r="K82" s="248" t="s">
        <v>19</v>
      </c>
      <c r="L82" s="218" t="s">
        <v>27</v>
      </c>
      <c r="M82" s="138" t="s">
        <v>21</v>
      </c>
    </row>
    <row r="83" spans="1:13" x14ac:dyDescent="0.35">
      <c r="A83" s="242">
        <v>79</v>
      </c>
      <c r="B83" s="231">
        <v>46158</v>
      </c>
      <c r="C83" s="231">
        <v>46159</v>
      </c>
      <c r="D83" s="232">
        <v>0.83333333333333337</v>
      </c>
      <c r="E83" s="232">
        <v>0.33333333333333331</v>
      </c>
      <c r="F83" s="243">
        <v>642000</v>
      </c>
      <c r="G83" s="238">
        <f t="shared" si="0"/>
        <v>642000</v>
      </c>
      <c r="H83" s="216">
        <f t="shared" si="3"/>
        <v>0</v>
      </c>
      <c r="I83" s="136">
        <v>987264494360</v>
      </c>
      <c r="J83" s="136">
        <v>926139439205238</v>
      </c>
      <c r="K83" s="248" t="s">
        <v>20</v>
      </c>
      <c r="L83" s="218" t="s">
        <v>27</v>
      </c>
      <c r="M83" s="219" t="s">
        <v>13</v>
      </c>
    </row>
    <row r="84" spans="1:13" x14ac:dyDescent="0.35">
      <c r="A84" s="131">
        <v>80</v>
      </c>
      <c r="B84" s="240">
        <v>46158</v>
      </c>
      <c r="C84" s="240">
        <v>46158</v>
      </c>
      <c r="D84" s="133">
        <v>0.20833333333333334</v>
      </c>
      <c r="E84" s="133">
        <v>0.91666666666666663</v>
      </c>
      <c r="F84" s="244">
        <v>66000</v>
      </c>
      <c r="G84" s="233">
        <f t="shared" si="0"/>
        <v>66000</v>
      </c>
      <c r="H84" s="234">
        <f t="shared" ref="H84" si="4">F84-G84</f>
        <v>0</v>
      </c>
      <c r="I84" s="235">
        <v>987264569039</v>
      </c>
      <c r="J84" s="235">
        <v>926146441337119</v>
      </c>
      <c r="K84" s="249" t="s">
        <v>163</v>
      </c>
      <c r="L84" s="229" t="s">
        <v>27</v>
      </c>
      <c r="M84" s="237" t="s">
        <v>158</v>
      </c>
    </row>
    <row r="85" spans="1:13" x14ac:dyDescent="0.35">
      <c r="A85" s="242">
        <v>81</v>
      </c>
      <c r="B85" s="231">
        <v>46159</v>
      </c>
      <c r="C85" s="231">
        <v>46159</v>
      </c>
      <c r="D85" s="232">
        <v>0.33333333333333331</v>
      </c>
      <c r="E85" s="232">
        <v>0.83333333333333337</v>
      </c>
      <c r="F85" s="243">
        <v>783000</v>
      </c>
      <c r="G85" s="238">
        <f t="shared" si="0"/>
        <v>783000</v>
      </c>
      <c r="H85" s="216">
        <f t="shared" si="3"/>
        <v>0</v>
      </c>
      <c r="I85" s="136">
        <v>987264494393</v>
      </c>
      <c r="J85" s="136">
        <v>926140439466725</v>
      </c>
      <c r="K85" s="248" t="s">
        <v>154</v>
      </c>
      <c r="L85" s="218" t="s">
        <v>27</v>
      </c>
      <c r="M85" s="138" t="s">
        <v>21</v>
      </c>
    </row>
    <row r="86" spans="1:13" x14ac:dyDescent="0.35">
      <c r="A86" s="242">
        <v>82</v>
      </c>
      <c r="B86" s="231">
        <v>46159</v>
      </c>
      <c r="C86" s="231">
        <v>46159</v>
      </c>
      <c r="D86" s="232">
        <v>0.33333333333333331</v>
      </c>
      <c r="E86" s="232">
        <v>0.83333333333333337</v>
      </c>
      <c r="F86" s="243">
        <v>1344000</v>
      </c>
      <c r="G86" s="238">
        <f t="shared" si="0"/>
        <v>1344000</v>
      </c>
      <c r="H86" s="216">
        <f t="shared" si="3"/>
        <v>0</v>
      </c>
      <c r="I86" s="136">
        <v>987264494393</v>
      </c>
      <c r="J86" s="136">
        <v>926140439466725</v>
      </c>
      <c r="K86" s="248" t="s">
        <v>24</v>
      </c>
      <c r="L86" s="218" t="s">
        <v>27</v>
      </c>
      <c r="M86" s="138" t="s">
        <v>13</v>
      </c>
    </row>
    <row r="87" spans="1:13" x14ac:dyDescent="0.35">
      <c r="A87" s="242">
        <v>83</v>
      </c>
      <c r="B87" s="231">
        <v>46159</v>
      </c>
      <c r="C87" s="231">
        <v>46160</v>
      </c>
      <c r="D87" s="232">
        <v>0.83333333333333337</v>
      </c>
      <c r="E87" s="232">
        <v>0.33333333333333331</v>
      </c>
      <c r="F87" s="243">
        <v>256000</v>
      </c>
      <c r="G87" s="238">
        <f t="shared" si="0"/>
        <v>256000</v>
      </c>
      <c r="H87" s="216">
        <f t="shared" si="3"/>
        <v>0</v>
      </c>
      <c r="I87" s="136">
        <v>987264494393</v>
      </c>
      <c r="J87" s="136">
        <v>926140439466725</v>
      </c>
      <c r="K87" s="248" t="s">
        <v>166</v>
      </c>
      <c r="L87" s="218" t="s">
        <v>27</v>
      </c>
      <c r="M87" s="138" t="s">
        <v>21</v>
      </c>
    </row>
    <row r="88" spans="1:13" x14ac:dyDescent="0.35">
      <c r="A88" s="242">
        <v>84</v>
      </c>
      <c r="B88" s="231">
        <v>46159</v>
      </c>
      <c r="C88" s="231">
        <v>46160</v>
      </c>
      <c r="D88" s="232">
        <v>0.83333333333333337</v>
      </c>
      <c r="E88" s="232">
        <v>0.33333333333333331</v>
      </c>
      <c r="F88" s="243">
        <v>622000</v>
      </c>
      <c r="G88" s="238">
        <f t="shared" si="0"/>
        <v>622000</v>
      </c>
      <c r="H88" s="216">
        <f t="shared" si="3"/>
        <v>0</v>
      </c>
      <c r="I88" s="136">
        <v>987264494393</v>
      </c>
      <c r="J88" s="136">
        <v>926140439466725</v>
      </c>
      <c r="K88" s="248" t="s">
        <v>15</v>
      </c>
      <c r="L88" s="218" t="s">
        <v>27</v>
      </c>
      <c r="M88" s="138" t="s">
        <v>13</v>
      </c>
    </row>
    <row r="89" spans="1:13" x14ac:dyDescent="0.35">
      <c r="A89" s="131">
        <v>85</v>
      </c>
      <c r="B89" s="240">
        <v>46159</v>
      </c>
      <c r="C89" s="240">
        <v>46159</v>
      </c>
      <c r="D89" s="133">
        <v>0.20833333333333334</v>
      </c>
      <c r="E89" s="133">
        <v>0.91666666666666663</v>
      </c>
      <c r="F89" s="244">
        <v>25000</v>
      </c>
      <c r="G89" s="239">
        <f t="shared" si="0"/>
        <v>25000</v>
      </c>
      <c r="H89" s="234">
        <f t="shared" ref="H89" si="5">F89-G89</f>
        <v>0</v>
      </c>
      <c r="I89" s="235">
        <v>987264569043</v>
      </c>
      <c r="J89" s="235">
        <v>926146441337420</v>
      </c>
      <c r="K89" s="249" t="s">
        <v>157</v>
      </c>
      <c r="L89" s="229" t="s">
        <v>27</v>
      </c>
      <c r="M89" s="237" t="s">
        <v>158</v>
      </c>
    </row>
    <row r="90" spans="1:13" x14ac:dyDescent="0.35">
      <c r="A90" s="242">
        <v>86</v>
      </c>
      <c r="B90" s="231">
        <v>46160</v>
      </c>
      <c r="C90" s="231">
        <v>46160</v>
      </c>
      <c r="D90" s="232">
        <v>0.33333333333333331</v>
      </c>
      <c r="E90" s="232">
        <v>0.83333333333333337</v>
      </c>
      <c r="F90" s="243">
        <v>497000</v>
      </c>
      <c r="G90" s="238">
        <f t="shared" si="0"/>
        <v>497000</v>
      </c>
      <c r="H90" s="216">
        <f t="shared" si="3"/>
        <v>0</v>
      </c>
      <c r="I90" s="136">
        <v>987264502237</v>
      </c>
      <c r="J90" s="136">
        <v>926141439839684</v>
      </c>
      <c r="K90" s="248" t="s">
        <v>154</v>
      </c>
      <c r="L90" s="218" t="s">
        <v>27</v>
      </c>
      <c r="M90" s="138" t="s">
        <v>21</v>
      </c>
    </row>
    <row r="91" spans="1:13" x14ac:dyDescent="0.35">
      <c r="A91" s="242">
        <v>87</v>
      </c>
      <c r="B91" s="231">
        <v>46160</v>
      </c>
      <c r="C91" s="231">
        <v>46160</v>
      </c>
      <c r="D91" s="232">
        <v>0.33333333333333331</v>
      </c>
      <c r="E91" s="232">
        <v>0.83333333333333337</v>
      </c>
      <c r="F91" s="243">
        <v>1390000</v>
      </c>
      <c r="G91" s="238">
        <f t="shared" si="0"/>
        <v>1390000</v>
      </c>
      <c r="H91" s="216">
        <f t="shared" si="3"/>
        <v>0</v>
      </c>
      <c r="I91" s="136">
        <v>987264502237</v>
      </c>
      <c r="J91" s="136">
        <v>926141439839684</v>
      </c>
      <c r="K91" s="248" t="s">
        <v>24</v>
      </c>
      <c r="L91" s="218" t="s">
        <v>27</v>
      </c>
      <c r="M91" s="138" t="s">
        <v>13</v>
      </c>
    </row>
    <row r="92" spans="1:13" x14ac:dyDescent="0.35">
      <c r="A92" s="242">
        <v>88</v>
      </c>
      <c r="B92" s="231">
        <v>46160</v>
      </c>
      <c r="C92" s="231">
        <v>46161</v>
      </c>
      <c r="D92" s="232">
        <v>0.83333333333333337</v>
      </c>
      <c r="E92" s="232">
        <v>0.33333333333333331</v>
      </c>
      <c r="F92" s="243">
        <v>222000</v>
      </c>
      <c r="G92" s="238">
        <f t="shared" si="0"/>
        <v>222000</v>
      </c>
      <c r="H92" s="216">
        <f t="shared" si="3"/>
        <v>0</v>
      </c>
      <c r="I92" s="136">
        <v>987264502237</v>
      </c>
      <c r="J92" s="136">
        <v>926141439839684</v>
      </c>
      <c r="K92" s="248" t="s">
        <v>166</v>
      </c>
      <c r="L92" s="218" t="s">
        <v>27</v>
      </c>
      <c r="M92" s="138" t="s">
        <v>21</v>
      </c>
    </row>
    <row r="93" spans="1:13" x14ac:dyDescent="0.35">
      <c r="A93" s="242">
        <v>89</v>
      </c>
      <c r="B93" s="231">
        <v>46160</v>
      </c>
      <c r="C93" s="231">
        <v>46161</v>
      </c>
      <c r="D93" s="232">
        <v>0.83333333333333337</v>
      </c>
      <c r="E93" s="232">
        <v>0.33333333333333331</v>
      </c>
      <c r="F93" s="243">
        <v>490000</v>
      </c>
      <c r="G93" s="238">
        <f t="shared" si="0"/>
        <v>490000</v>
      </c>
      <c r="H93" s="216">
        <f t="shared" si="3"/>
        <v>0</v>
      </c>
      <c r="I93" s="136">
        <v>987264502237</v>
      </c>
      <c r="J93" s="136">
        <v>926141439839684</v>
      </c>
      <c r="K93" s="248" t="s">
        <v>15</v>
      </c>
      <c r="L93" s="218" t="s">
        <v>27</v>
      </c>
      <c r="M93" s="138" t="s">
        <v>13</v>
      </c>
    </row>
    <row r="94" spans="1:13" x14ac:dyDescent="0.35">
      <c r="A94" s="131">
        <v>90</v>
      </c>
      <c r="B94" s="240">
        <v>46160</v>
      </c>
      <c r="C94" s="240">
        <v>46160</v>
      </c>
      <c r="D94" s="133">
        <v>0.20833333333333334</v>
      </c>
      <c r="E94" s="133">
        <v>0.91666666666666663</v>
      </c>
      <c r="F94" s="244">
        <v>66000</v>
      </c>
      <c r="G94" s="239">
        <f t="shared" si="0"/>
        <v>66000</v>
      </c>
      <c r="H94" s="234">
        <f t="shared" ref="H94" si="6">F94-G94</f>
        <v>0</v>
      </c>
      <c r="I94" s="235">
        <v>987264569055</v>
      </c>
      <c r="J94" s="235">
        <v>926146441337650</v>
      </c>
      <c r="K94" s="249" t="s">
        <v>157</v>
      </c>
      <c r="L94" s="229" t="s">
        <v>27</v>
      </c>
      <c r="M94" s="237" t="s">
        <v>158</v>
      </c>
    </row>
    <row r="95" spans="1:13" x14ac:dyDescent="0.35">
      <c r="A95" s="242">
        <v>91</v>
      </c>
      <c r="B95" s="231">
        <v>46161</v>
      </c>
      <c r="C95" s="231">
        <v>46161</v>
      </c>
      <c r="D95" s="232">
        <v>0.33333333333333331</v>
      </c>
      <c r="E95" s="232">
        <v>0.83333333333333337</v>
      </c>
      <c r="F95" s="243">
        <v>262000</v>
      </c>
      <c r="G95" s="238">
        <f t="shared" si="0"/>
        <v>262000</v>
      </c>
      <c r="H95" s="216">
        <f t="shared" si="3"/>
        <v>0</v>
      </c>
      <c r="I95" s="136">
        <v>987264537102</v>
      </c>
      <c r="J95" s="136">
        <v>926142440302194</v>
      </c>
      <c r="K95" s="248" t="s">
        <v>19</v>
      </c>
      <c r="L95" s="218" t="s">
        <v>27</v>
      </c>
      <c r="M95" s="138" t="s">
        <v>21</v>
      </c>
    </row>
    <row r="96" spans="1:13" x14ac:dyDescent="0.35">
      <c r="A96" s="242">
        <v>92</v>
      </c>
      <c r="B96" s="231">
        <v>46161</v>
      </c>
      <c r="C96" s="231">
        <v>46161</v>
      </c>
      <c r="D96" s="232">
        <v>0.33333333333333331</v>
      </c>
      <c r="E96" s="232">
        <v>0.83333333333333337</v>
      </c>
      <c r="F96" s="243">
        <v>1014000</v>
      </c>
      <c r="G96" s="238">
        <f t="shared" si="0"/>
        <v>1014000</v>
      </c>
      <c r="H96" s="216">
        <f t="shared" si="3"/>
        <v>0</v>
      </c>
      <c r="I96" s="136">
        <v>987264537102</v>
      </c>
      <c r="J96" s="136">
        <v>926142440302194</v>
      </c>
      <c r="K96" s="248" t="s">
        <v>20</v>
      </c>
      <c r="L96" s="218" t="s">
        <v>27</v>
      </c>
      <c r="M96" s="138" t="s">
        <v>13</v>
      </c>
    </row>
    <row r="97" spans="1:13" x14ac:dyDescent="0.35">
      <c r="A97" s="242">
        <v>93</v>
      </c>
      <c r="B97" s="231">
        <v>46161</v>
      </c>
      <c r="C97" s="231">
        <v>46162</v>
      </c>
      <c r="D97" s="232">
        <v>0.83333333333333337</v>
      </c>
      <c r="E97" s="232">
        <v>0.33333333333333331</v>
      </c>
      <c r="F97" s="243">
        <v>103000</v>
      </c>
      <c r="G97" s="238">
        <f t="shared" si="0"/>
        <v>103000</v>
      </c>
      <c r="H97" s="216">
        <f t="shared" si="3"/>
        <v>0</v>
      </c>
      <c r="I97" s="136">
        <v>987264537102</v>
      </c>
      <c r="J97" s="136">
        <v>926142440302194</v>
      </c>
      <c r="K97" s="248" t="s">
        <v>154</v>
      </c>
      <c r="L97" s="218" t="s">
        <v>27</v>
      </c>
      <c r="M97" s="138" t="s">
        <v>21</v>
      </c>
    </row>
    <row r="98" spans="1:13" x14ac:dyDescent="0.35">
      <c r="A98" s="242">
        <v>94</v>
      </c>
      <c r="B98" s="231">
        <v>46161</v>
      </c>
      <c r="C98" s="231">
        <v>46162</v>
      </c>
      <c r="D98" s="232">
        <v>0.83333333333333337</v>
      </c>
      <c r="E98" s="232">
        <v>0.33333333333333331</v>
      </c>
      <c r="F98" s="243">
        <v>440000</v>
      </c>
      <c r="G98" s="238">
        <f t="shared" si="0"/>
        <v>440000</v>
      </c>
      <c r="H98" s="216">
        <f t="shared" si="3"/>
        <v>0</v>
      </c>
      <c r="I98" s="136">
        <v>987264537102</v>
      </c>
      <c r="J98" s="136">
        <v>926142440302194</v>
      </c>
      <c r="K98" s="248" t="s">
        <v>24</v>
      </c>
      <c r="L98" s="218" t="s">
        <v>27</v>
      </c>
      <c r="M98" s="138" t="s">
        <v>13</v>
      </c>
    </row>
    <row r="99" spans="1:13" x14ac:dyDescent="0.35">
      <c r="A99" s="131">
        <v>95</v>
      </c>
      <c r="B99" s="240">
        <v>46161</v>
      </c>
      <c r="C99" s="240">
        <v>46161</v>
      </c>
      <c r="D99" s="133">
        <v>0.20833333333333334</v>
      </c>
      <c r="E99" s="133">
        <v>0.91666666666666663</v>
      </c>
      <c r="F99" s="244">
        <v>40000</v>
      </c>
      <c r="G99" s="239">
        <f t="shared" si="0"/>
        <v>40000</v>
      </c>
      <c r="H99" s="234">
        <f t="shared" ref="H99" si="7">F99-G99</f>
        <v>0</v>
      </c>
      <c r="I99" s="235">
        <v>9872647400917</v>
      </c>
      <c r="J99" s="285">
        <v>926162446736290</v>
      </c>
      <c r="K99" s="249" t="s">
        <v>157</v>
      </c>
      <c r="L99" s="229" t="s">
        <v>27</v>
      </c>
      <c r="M99" s="245" t="s">
        <v>158</v>
      </c>
    </row>
    <row r="100" spans="1:13" x14ac:dyDescent="0.35">
      <c r="A100" s="242">
        <v>96</v>
      </c>
      <c r="B100" s="231">
        <v>46162</v>
      </c>
      <c r="C100" s="231">
        <v>46162</v>
      </c>
      <c r="D100" s="232">
        <v>0.33333333333333331</v>
      </c>
      <c r="E100" s="232">
        <v>0.83333333333333337</v>
      </c>
      <c r="F100" s="243">
        <v>287000</v>
      </c>
      <c r="G100" s="238">
        <f t="shared" si="0"/>
        <v>287000</v>
      </c>
      <c r="H100" s="216">
        <f t="shared" si="3"/>
        <v>0</v>
      </c>
      <c r="I100" s="136">
        <v>987264537113</v>
      </c>
      <c r="J100" s="136">
        <v>926143440526508</v>
      </c>
      <c r="K100" s="248" t="s">
        <v>19</v>
      </c>
      <c r="L100" s="218" t="s">
        <v>27</v>
      </c>
      <c r="M100" s="138" t="s">
        <v>21</v>
      </c>
    </row>
    <row r="101" spans="1:13" x14ac:dyDescent="0.35">
      <c r="A101" s="242">
        <v>97</v>
      </c>
      <c r="B101" s="231">
        <v>46162</v>
      </c>
      <c r="C101" s="231">
        <v>46162</v>
      </c>
      <c r="D101" s="232">
        <v>0.33333333333333331</v>
      </c>
      <c r="E101" s="232">
        <v>0.83333333333333337</v>
      </c>
      <c r="F101" s="243">
        <v>1030000</v>
      </c>
      <c r="G101" s="238">
        <f t="shared" si="0"/>
        <v>1030000</v>
      </c>
      <c r="H101" s="216">
        <f t="shared" si="3"/>
        <v>0</v>
      </c>
      <c r="I101" s="136">
        <v>987264537113</v>
      </c>
      <c r="J101" s="136">
        <v>926143440526508</v>
      </c>
      <c r="K101" s="248" t="s">
        <v>20</v>
      </c>
      <c r="L101" s="218" t="s">
        <v>27</v>
      </c>
      <c r="M101" s="138" t="s">
        <v>13</v>
      </c>
    </row>
    <row r="102" spans="1:13" x14ac:dyDescent="0.35">
      <c r="A102" s="242">
        <v>98</v>
      </c>
      <c r="B102" s="231">
        <v>46162</v>
      </c>
      <c r="C102" s="231">
        <v>46163</v>
      </c>
      <c r="D102" s="232">
        <v>0.83333333333333337</v>
      </c>
      <c r="E102" s="232">
        <v>0.33333333333333331</v>
      </c>
      <c r="F102" s="243">
        <v>356000</v>
      </c>
      <c r="G102" s="238">
        <f t="shared" si="0"/>
        <v>356000</v>
      </c>
      <c r="H102" s="216">
        <f t="shared" si="3"/>
        <v>0</v>
      </c>
      <c r="I102" s="136">
        <v>987264537113</v>
      </c>
      <c r="J102" s="136">
        <v>926143440526508</v>
      </c>
      <c r="K102" s="248" t="s">
        <v>154</v>
      </c>
      <c r="L102" s="218" t="s">
        <v>27</v>
      </c>
      <c r="M102" s="138" t="s">
        <v>171</v>
      </c>
    </row>
    <row r="103" spans="1:13" x14ac:dyDescent="0.35">
      <c r="A103" s="242">
        <v>99</v>
      </c>
      <c r="B103" s="231">
        <v>46162</v>
      </c>
      <c r="C103" s="231">
        <v>46163</v>
      </c>
      <c r="D103" s="232">
        <v>0.83333333333333337</v>
      </c>
      <c r="E103" s="232">
        <v>0.33333333333333331</v>
      </c>
      <c r="F103" s="243">
        <v>548000</v>
      </c>
      <c r="G103" s="238">
        <f t="shared" si="0"/>
        <v>548000</v>
      </c>
      <c r="H103" s="216">
        <f t="shared" si="3"/>
        <v>0</v>
      </c>
      <c r="I103" s="136">
        <v>987264537113</v>
      </c>
      <c r="J103" s="136">
        <v>926143440526508</v>
      </c>
      <c r="K103" s="248" t="s">
        <v>24</v>
      </c>
      <c r="L103" s="218" t="s">
        <v>27</v>
      </c>
      <c r="M103" s="138" t="s">
        <v>13</v>
      </c>
    </row>
    <row r="104" spans="1:13" x14ac:dyDescent="0.35">
      <c r="A104" s="131">
        <v>100</v>
      </c>
      <c r="B104" s="240">
        <v>46162</v>
      </c>
      <c r="C104" s="240">
        <v>46162</v>
      </c>
      <c r="D104" s="133">
        <v>0.20833333333333334</v>
      </c>
      <c r="E104" s="133">
        <v>0.91666666666666663</v>
      </c>
      <c r="F104" s="244">
        <v>10000</v>
      </c>
      <c r="G104" s="239">
        <f t="shared" si="0"/>
        <v>10000</v>
      </c>
      <c r="H104" s="234">
        <f t="shared" si="3"/>
        <v>0</v>
      </c>
      <c r="I104" s="235">
        <v>9872647400901</v>
      </c>
      <c r="J104" s="285">
        <v>926162446734632</v>
      </c>
      <c r="K104" s="249" t="s">
        <v>169</v>
      </c>
      <c r="L104" s="242" t="s">
        <v>27</v>
      </c>
      <c r="M104" s="245" t="s">
        <v>158</v>
      </c>
    </row>
    <row r="105" spans="1:13" x14ac:dyDescent="0.35">
      <c r="A105" s="242">
        <v>101</v>
      </c>
      <c r="B105" s="231">
        <v>46163</v>
      </c>
      <c r="C105" s="231">
        <v>46163</v>
      </c>
      <c r="D105" s="232">
        <v>0.33333333333333331</v>
      </c>
      <c r="E105" s="232">
        <v>0.83333333333333337</v>
      </c>
      <c r="F105" s="243">
        <v>292000</v>
      </c>
      <c r="G105" s="238">
        <f t="shared" si="0"/>
        <v>292000</v>
      </c>
      <c r="H105" s="216">
        <f t="shared" si="3"/>
        <v>0</v>
      </c>
      <c r="I105" s="136">
        <v>987264537262</v>
      </c>
      <c r="J105" s="136">
        <v>926143440718986</v>
      </c>
      <c r="K105" s="248" t="s">
        <v>166</v>
      </c>
      <c r="L105" s="131" t="s">
        <v>27</v>
      </c>
      <c r="M105" s="138" t="s">
        <v>21</v>
      </c>
    </row>
    <row r="106" spans="1:13" x14ac:dyDescent="0.35">
      <c r="A106" s="242">
        <v>102</v>
      </c>
      <c r="B106" s="231">
        <v>46163</v>
      </c>
      <c r="C106" s="231">
        <v>46163</v>
      </c>
      <c r="D106" s="232">
        <v>0.33333333333333331</v>
      </c>
      <c r="E106" s="232">
        <v>0.83333333333333337</v>
      </c>
      <c r="F106" s="243">
        <v>1084000</v>
      </c>
      <c r="G106" s="238">
        <f t="shared" si="0"/>
        <v>1084000</v>
      </c>
      <c r="H106" s="216">
        <f t="shared" si="3"/>
        <v>0</v>
      </c>
      <c r="I106" s="136">
        <v>987264537262</v>
      </c>
      <c r="J106" s="136">
        <v>926143440718986</v>
      </c>
      <c r="K106" s="248" t="s">
        <v>15</v>
      </c>
      <c r="L106" s="131" t="s">
        <v>27</v>
      </c>
      <c r="M106" s="138" t="s">
        <v>13</v>
      </c>
    </row>
    <row r="107" spans="1:13" x14ac:dyDescent="0.35">
      <c r="A107" s="242">
        <v>103</v>
      </c>
      <c r="B107" s="231">
        <v>46163</v>
      </c>
      <c r="C107" s="231">
        <v>46164</v>
      </c>
      <c r="D107" s="232">
        <v>0.83333333333333337</v>
      </c>
      <c r="E107" s="232">
        <v>0.33333333333333331</v>
      </c>
      <c r="F107" s="243">
        <v>229000</v>
      </c>
      <c r="G107" s="238">
        <f>SUM(F107)</f>
        <v>229000</v>
      </c>
      <c r="H107" s="216">
        <f>F107-G107</f>
        <v>0</v>
      </c>
      <c r="I107" s="136">
        <v>987264537262</v>
      </c>
      <c r="J107" s="136">
        <v>926143440718986</v>
      </c>
      <c r="K107" s="248" t="s">
        <v>19</v>
      </c>
      <c r="L107" s="131" t="s">
        <v>27</v>
      </c>
      <c r="M107" s="138" t="s">
        <v>21</v>
      </c>
    </row>
    <row r="108" spans="1:13" x14ac:dyDescent="0.35">
      <c r="A108" s="242">
        <v>104</v>
      </c>
      <c r="B108" s="231">
        <v>46163</v>
      </c>
      <c r="C108" s="231">
        <v>46164</v>
      </c>
      <c r="D108" s="232">
        <v>0.83333333333333337</v>
      </c>
      <c r="E108" s="232">
        <v>0.33333333333333331</v>
      </c>
      <c r="F108" s="243">
        <v>489000</v>
      </c>
      <c r="G108" s="238">
        <f>SUM(F108)</f>
        <v>489000</v>
      </c>
      <c r="H108" s="216">
        <f>F108-G108</f>
        <v>0</v>
      </c>
      <c r="I108" s="136">
        <v>987264537262</v>
      </c>
      <c r="J108" s="136">
        <v>926143440718986</v>
      </c>
      <c r="K108" s="248" t="s">
        <v>20</v>
      </c>
      <c r="L108" s="131" t="s">
        <v>27</v>
      </c>
      <c r="M108" s="138" t="s">
        <v>13</v>
      </c>
    </row>
    <row r="109" spans="1:13" x14ac:dyDescent="0.35">
      <c r="A109" s="131">
        <v>105</v>
      </c>
      <c r="B109" s="240">
        <v>46163</v>
      </c>
      <c r="C109" s="240">
        <v>46163</v>
      </c>
      <c r="D109" s="133">
        <v>0.20833333333333334</v>
      </c>
      <c r="E109" s="133">
        <v>0.91666666666666663</v>
      </c>
      <c r="F109" s="244">
        <v>25000</v>
      </c>
      <c r="G109" s="239">
        <f t="shared" si="0"/>
        <v>25000</v>
      </c>
      <c r="H109" s="234">
        <f t="shared" ref="H109" si="8">F109-G109</f>
        <v>0</v>
      </c>
      <c r="I109" s="235">
        <v>987264740911</v>
      </c>
      <c r="J109" s="285" t="s">
        <v>173</v>
      </c>
      <c r="K109" s="249" t="s">
        <v>169</v>
      </c>
      <c r="L109" s="242" t="s">
        <v>27</v>
      </c>
      <c r="M109" s="245" t="s">
        <v>158</v>
      </c>
    </row>
    <row r="110" spans="1:13" x14ac:dyDescent="0.35">
      <c r="A110" s="242">
        <v>106</v>
      </c>
      <c r="B110" s="231">
        <v>46164</v>
      </c>
      <c r="C110" s="231">
        <v>46164</v>
      </c>
      <c r="D110" s="232">
        <v>0.33333333333333331</v>
      </c>
      <c r="E110" s="232">
        <v>0.83333333333333337</v>
      </c>
      <c r="F110" s="243">
        <v>381000</v>
      </c>
      <c r="G110" s="238">
        <f t="shared" si="0"/>
        <v>381000</v>
      </c>
      <c r="H110" s="216">
        <f>F110-G110</f>
        <v>0</v>
      </c>
      <c r="I110" s="136">
        <v>987264568911</v>
      </c>
      <c r="J110" s="136">
        <v>926146441348945</v>
      </c>
      <c r="K110" s="248" t="s">
        <v>166</v>
      </c>
      <c r="L110" s="131" t="s">
        <v>27</v>
      </c>
      <c r="M110" s="138" t="s">
        <v>21</v>
      </c>
    </row>
    <row r="111" spans="1:13" x14ac:dyDescent="0.35">
      <c r="A111" s="242">
        <v>107</v>
      </c>
      <c r="B111" s="231">
        <v>46164</v>
      </c>
      <c r="C111" s="231">
        <v>46164</v>
      </c>
      <c r="D111" s="232">
        <v>0.33333333333333331</v>
      </c>
      <c r="E111" s="232">
        <v>0.83333333333333337</v>
      </c>
      <c r="F111" s="243">
        <v>1215000</v>
      </c>
      <c r="G111" s="238">
        <f t="shared" si="0"/>
        <v>1215000</v>
      </c>
      <c r="H111" s="216">
        <f t="shared" ref="H111:H159" si="9">F111-G111</f>
        <v>0</v>
      </c>
      <c r="I111" s="136">
        <v>987264568911</v>
      </c>
      <c r="J111" s="136">
        <v>926146441348945</v>
      </c>
      <c r="K111" s="248" t="s">
        <v>15</v>
      </c>
      <c r="L111" s="131" t="s">
        <v>27</v>
      </c>
      <c r="M111" s="138" t="s">
        <v>13</v>
      </c>
    </row>
    <row r="112" spans="1:13" x14ac:dyDescent="0.35">
      <c r="A112" s="242">
        <v>108</v>
      </c>
      <c r="B112" s="231">
        <v>46164</v>
      </c>
      <c r="C112" s="231">
        <v>46165</v>
      </c>
      <c r="D112" s="232">
        <v>0.83333333333333337</v>
      </c>
      <c r="E112" s="232">
        <v>0.33333333333333331</v>
      </c>
      <c r="F112" s="243">
        <v>103000</v>
      </c>
      <c r="G112" s="238">
        <f t="shared" si="0"/>
        <v>103000</v>
      </c>
      <c r="H112" s="216">
        <f t="shared" si="9"/>
        <v>0</v>
      </c>
      <c r="I112" s="136">
        <v>987264568911</v>
      </c>
      <c r="J112" s="136">
        <v>926146441348945</v>
      </c>
      <c r="K112" s="248" t="s">
        <v>19</v>
      </c>
      <c r="L112" s="131" t="s">
        <v>27</v>
      </c>
      <c r="M112" s="138" t="s">
        <v>21</v>
      </c>
    </row>
    <row r="113" spans="1:13" x14ac:dyDescent="0.35">
      <c r="A113" s="242">
        <v>109</v>
      </c>
      <c r="B113" s="231">
        <v>46164</v>
      </c>
      <c r="C113" s="231">
        <v>46165</v>
      </c>
      <c r="D113" s="232">
        <v>0.83333333333333337</v>
      </c>
      <c r="E113" s="232">
        <v>0.33333333333333331</v>
      </c>
      <c r="F113" s="251">
        <v>430000</v>
      </c>
      <c r="G113" s="238">
        <f t="shared" si="0"/>
        <v>430000</v>
      </c>
      <c r="H113" s="216">
        <f t="shared" si="9"/>
        <v>0</v>
      </c>
      <c r="I113" s="136">
        <v>987264568911</v>
      </c>
      <c r="J113" s="136">
        <v>926146441348945</v>
      </c>
      <c r="K113" s="248" t="s">
        <v>20</v>
      </c>
      <c r="L113" s="131" t="s">
        <v>27</v>
      </c>
      <c r="M113" s="138" t="s">
        <v>13</v>
      </c>
    </row>
    <row r="114" spans="1:13" x14ac:dyDescent="0.35">
      <c r="A114" s="131">
        <v>110</v>
      </c>
      <c r="B114" s="240">
        <v>46164</v>
      </c>
      <c r="C114" s="240">
        <v>46164</v>
      </c>
      <c r="D114" s="133">
        <v>0.20833333333333334</v>
      </c>
      <c r="E114" s="133">
        <v>0.91666666666666663</v>
      </c>
      <c r="F114" s="244">
        <v>81000</v>
      </c>
      <c r="G114" s="239">
        <f t="shared" si="0"/>
        <v>81000</v>
      </c>
      <c r="H114" s="234">
        <f t="shared" si="9"/>
        <v>0</v>
      </c>
      <c r="I114" s="235">
        <v>987264740919</v>
      </c>
      <c r="J114" s="285">
        <v>926162446736553</v>
      </c>
      <c r="K114" s="249" t="s">
        <v>169</v>
      </c>
      <c r="L114" s="242" t="s">
        <v>27</v>
      </c>
      <c r="M114" s="245" t="s">
        <v>158</v>
      </c>
    </row>
    <row r="115" spans="1:13" x14ac:dyDescent="0.35">
      <c r="A115" s="242">
        <v>111</v>
      </c>
      <c r="B115" s="231">
        <v>46165</v>
      </c>
      <c r="C115" s="231">
        <v>46165</v>
      </c>
      <c r="D115" s="232">
        <v>0.33333333333333331</v>
      </c>
      <c r="E115" s="232">
        <v>0.83333333333333337</v>
      </c>
      <c r="F115" s="243">
        <v>294000</v>
      </c>
      <c r="G115" s="238">
        <f t="shared" si="0"/>
        <v>294000</v>
      </c>
      <c r="H115" s="216">
        <f t="shared" si="9"/>
        <v>0</v>
      </c>
      <c r="I115" s="136">
        <v>987264568921</v>
      </c>
      <c r="J115" s="136">
        <v>926146441351059</v>
      </c>
      <c r="K115" s="248" t="s">
        <v>154</v>
      </c>
      <c r="L115" s="131" t="s">
        <v>27</v>
      </c>
      <c r="M115" s="138" t="s">
        <v>21</v>
      </c>
    </row>
    <row r="116" spans="1:13" x14ac:dyDescent="0.35">
      <c r="A116" s="242">
        <v>112</v>
      </c>
      <c r="B116" s="231">
        <v>46165</v>
      </c>
      <c r="C116" s="231">
        <v>46165</v>
      </c>
      <c r="D116" s="232">
        <v>0.33333333333333331</v>
      </c>
      <c r="E116" s="232">
        <v>0.83333333333333337</v>
      </c>
      <c r="F116" s="243">
        <v>1195000</v>
      </c>
      <c r="G116" s="238">
        <f t="shared" si="0"/>
        <v>1195000</v>
      </c>
      <c r="H116" s="216">
        <f t="shared" si="9"/>
        <v>0</v>
      </c>
      <c r="I116" s="136">
        <v>987264568921</v>
      </c>
      <c r="J116" s="136">
        <v>926146441351059</v>
      </c>
      <c r="K116" s="248" t="s">
        <v>24</v>
      </c>
      <c r="L116" s="131" t="s">
        <v>27</v>
      </c>
      <c r="M116" s="138" t="s">
        <v>13</v>
      </c>
    </row>
    <row r="117" spans="1:13" x14ac:dyDescent="0.35">
      <c r="A117" s="242">
        <v>113</v>
      </c>
      <c r="B117" s="231">
        <v>46165</v>
      </c>
      <c r="C117" s="231">
        <v>46166</v>
      </c>
      <c r="D117" s="232">
        <v>0.83333333333333337</v>
      </c>
      <c r="E117" s="232">
        <v>0.33333333333333331</v>
      </c>
      <c r="F117" s="243">
        <v>133000</v>
      </c>
      <c r="G117" s="238">
        <f t="shared" si="0"/>
        <v>133000</v>
      </c>
      <c r="H117" s="216">
        <f t="shared" si="9"/>
        <v>0</v>
      </c>
      <c r="I117" s="136">
        <v>987264568921</v>
      </c>
      <c r="J117" s="136">
        <v>926146441351059</v>
      </c>
      <c r="K117" s="248" t="s">
        <v>166</v>
      </c>
      <c r="L117" s="131" t="s">
        <v>27</v>
      </c>
      <c r="M117" s="138" t="s">
        <v>21</v>
      </c>
    </row>
    <row r="118" spans="1:13" x14ac:dyDescent="0.35">
      <c r="A118" s="242">
        <v>114</v>
      </c>
      <c r="B118" s="231">
        <v>46165</v>
      </c>
      <c r="C118" s="231">
        <v>46166</v>
      </c>
      <c r="D118" s="232">
        <v>0.83333333333333337</v>
      </c>
      <c r="E118" s="232">
        <v>0.33333333333333331</v>
      </c>
      <c r="F118" s="243">
        <v>557000</v>
      </c>
      <c r="G118" s="238">
        <f t="shared" si="0"/>
        <v>557000</v>
      </c>
      <c r="H118" s="216">
        <f t="shared" si="9"/>
        <v>0</v>
      </c>
      <c r="I118" s="136">
        <v>987264568921</v>
      </c>
      <c r="J118" s="136">
        <v>926146441351059</v>
      </c>
      <c r="K118" s="248" t="s">
        <v>15</v>
      </c>
      <c r="L118" s="131" t="s">
        <v>27</v>
      </c>
      <c r="M118" s="138" t="s">
        <v>13</v>
      </c>
    </row>
    <row r="119" spans="1:13" x14ac:dyDescent="0.35">
      <c r="A119" s="131">
        <v>115</v>
      </c>
      <c r="B119" s="240">
        <v>46165</v>
      </c>
      <c r="C119" s="240">
        <v>46165</v>
      </c>
      <c r="D119" s="133">
        <v>0.20833333333333334</v>
      </c>
      <c r="E119" s="133">
        <v>0.91666666666666663</v>
      </c>
      <c r="F119" s="244">
        <v>59000</v>
      </c>
      <c r="G119" s="239">
        <f t="shared" si="0"/>
        <v>59000</v>
      </c>
      <c r="H119" s="234">
        <f t="shared" ref="H119" si="10">F119-G119</f>
        <v>0</v>
      </c>
      <c r="I119" s="235">
        <v>987264740925</v>
      </c>
      <c r="J119" s="285">
        <v>926162446737601</v>
      </c>
      <c r="K119" s="249" t="s">
        <v>169</v>
      </c>
      <c r="L119" s="242" t="s">
        <v>27</v>
      </c>
      <c r="M119" s="245" t="s">
        <v>158</v>
      </c>
    </row>
    <row r="120" spans="1:13" x14ac:dyDescent="0.35">
      <c r="A120" s="242">
        <v>116</v>
      </c>
      <c r="B120" s="231">
        <v>46166</v>
      </c>
      <c r="C120" s="231">
        <v>46166</v>
      </c>
      <c r="D120" s="232">
        <v>0.33333333333333331</v>
      </c>
      <c r="E120" s="232">
        <v>0.83333333333333337</v>
      </c>
      <c r="F120" s="243">
        <v>540000</v>
      </c>
      <c r="G120" s="238">
        <f t="shared" si="0"/>
        <v>540000</v>
      </c>
      <c r="H120" s="216">
        <f t="shared" si="9"/>
        <v>0</v>
      </c>
      <c r="I120" s="136">
        <v>987264568928</v>
      </c>
      <c r="J120" s="136">
        <v>926147441739872</v>
      </c>
      <c r="K120" s="248" t="s">
        <v>154</v>
      </c>
      <c r="L120" s="131" t="s">
        <v>27</v>
      </c>
      <c r="M120" s="138" t="s">
        <v>21</v>
      </c>
    </row>
    <row r="121" spans="1:13" x14ac:dyDescent="0.35">
      <c r="A121" s="242">
        <v>117</v>
      </c>
      <c r="B121" s="231">
        <v>46166</v>
      </c>
      <c r="C121" s="231">
        <v>46166</v>
      </c>
      <c r="D121" s="232">
        <v>0.33333333333333331</v>
      </c>
      <c r="E121" s="232">
        <v>0.83333333333333337</v>
      </c>
      <c r="F121" s="243">
        <v>1416000</v>
      </c>
      <c r="G121" s="238">
        <f t="shared" si="0"/>
        <v>1416000</v>
      </c>
      <c r="H121" s="216">
        <f t="shared" si="9"/>
        <v>0</v>
      </c>
      <c r="I121" s="136">
        <v>987264568928</v>
      </c>
      <c r="J121" s="136">
        <v>926147441739872</v>
      </c>
      <c r="K121" s="248" t="s">
        <v>24</v>
      </c>
      <c r="L121" s="131" t="s">
        <v>27</v>
      </c>
      <c r="M121" s="138" t="s">
        <v>13</v>
      </c>
    </row>
    <row r="122" spans="1:13" x14ac:dyDescent="0.35">
      <c r="A122" s="242">
        <v>118</v>
      </c>
      <c r="B122" s="231">
        <v>46166</v>
      </c>
      <c r="C122" s="231">
        <v>46167</v>
      </c>
      <c r="D122" s="232">
        <v>0.83333333333333337</v>
      </c>
      <c r="E122" s="232">
        <v>0.33333333333333331</v>
      </c>
      <c r="F122" s="243">
        <v>409000</v>
      </c>
      <c r="G122" s="238">
        <f t="shared" si="0"/>
        <v>409000</v>
      </c>
      <c r="H122" s="216">
        <f t="shared" si="9"/>
        <v>0</v>
      </c>
      <c r="I122" s="136">
        <v>987264568928</v>
      </c>
      <c r="J122" s="136">
        <v>926147441739872</v>
      </c>
      <c r="K122" s="248" t="s">
        <v>166</v>
      </c>
      <c r="L122" s="131" t="s">
        <v>27</v>
      </c>
      <c r="M122" s="138" t="s">
        <v>171</v>
      </c>
    </row>
    <row r="123" spans="1:13" x14ac:dyDescent="0.35">
      <c r="A123" s="242">
        <v>119</v>
      </c>
      <c r="B123" s="231">
        <v>46166</v>
      </c>
      <c r="C123" s="231">
        <v>46167</v>
      </c>
      <c r="D123" s="232">
        <v>0.83333333333333337</v>
      </c>
      <c r="E123" s="232">
        <v>0.33333333333333331</v>
      </c>
      <c r="F123" s="243">
        <v>668000</v>
      </c>
      <c r="G123" s="238">
        <f t="shared" si="0"/>
        <v>668000</v>
      </c>
      <c r="H123" s="216">
        <f t="shared" si="9"/>
        <v>0</v>
      </c>
      <c r="I123" s="136">
        <v>987264568928</v>
      </c>
      <c r="J123" s="136">
        <v>926147441739872</v>
      </c>
      <c r="K123" s="248" t="s">
        <v>15</v>
      </c>
      <c r="L123" s="131" t="s">
        <v>27</v>
      </c>
      <c r="M123" s="138" t="s">
        <v>13</v>
      </c>
    </row>
    <row r="124" spans="1:13" x14ac:dyDescent="0.35">
      <c r="A124" s="131">
        <v>120</v>
      </c>
      <c r="B124" s="240">
        <v>46166</v>
      </c>
      <c r="C124" s="240">
        <v>46166</v>
      </c>
      <c r="D124" s="133">
        <v>0.20833333333333334</v>
      </c>
      <c r="E124" s="133">
        <v>0.91666666666666663</v>
      </c>
      <c r="F124" s="244">
        <v>55000</v>
      </c>
      <c r="G124" s="239">
        <f t="shared" si="0"/>
        <v>55000</v>
      </c>
      <c r="H124" s="234">
        <f t="shared" ref="H124" si="11">F124-G124</f>
        <v>0</v>
      </c>
      <c r="I124" s="235">
        <v>987264740932</v>
      </c>
      <c r="J124" s="235">
        <v>926162446733496</v>
      </c>
      <c r="K124" s="249" t="s">
        <v>169</v>
      </c>
      <c r="L124" s="242" t="s">
        <v>27</v>
      </c>
      <c r="M124" s="245" t="s">
        <v>158</v>
      </c>
    </row>
    <row r="125" spans="1:13" x14ac:dyDescent="0.35">
      <c r="A125" s="242">
        <v>121</v>
      </c>
      <c r="B125" s="231">
        <v>46167</v>
      </c>
      <c r="C125" s="231">
        <v>46167</v>
      </c>
      <c r="D125" s="232">
        <v>0.33333333333333331</v>
      </c>
      <c r="E125" s="232">
        <v>0.83333333333333337</v>
      </c>
      <c r="F125" s="243">
        <v>572000</v>
      </c>
      <c r="G125" s="238">
        <f t="shared" si="0"/>
        <v>572000</v>
      </c>
      <c r="H125" s="216">
        <f t="shared" si="9"/>
        <v>0</v>
      </c>
      <c r="I125" s="136">
        <v>987264577569</v>
      </c>
      <c r="J125" s="136">
        <v>926148441990580</v>
      </c>
      <c r="K125" s="248" t="s">
        <v>19</v>
      </c>
      <c r="L125" s="131" t="s">
        <v>27</v>
      </c>
      <c r="M125" s="138" t="s">
        <v>21</v>
      </c>
    </row>
    <row r="126" spans="1:13" x14ac:dyDescent="0.35">
      <c r="A126" s="242">
        <v>122</v>
      </c>
      <c r="B126" s="231">
        <v>46167</v>
      </c>
      <c r="C126" s="231">
        <v>46167</v>
      </c>
      <c r="D126" s="232">
        <v>0.33333333333333331</v>
      </c>
      <c r="E126" s="232">
        <v>0.83333333333333337</v>
      </c>
      <c r="F126" s="243">
        <v>1415000</v>
      </c>
      <c r="G126" s="238">
        <f t="shared" si="0"/>
        <v>1415000</v>
      </c>
      <c r="H126" s="216">
        <f t="shared" si="9"/>
        <v>0</v>
      </c>
      <c r="I126" s="136">
        <v>987264577569</v>
      </c>
      <c r="J126" s="136">
        <v>926148441990580</v>
      </c>
      <c r="K126" s="248" t="s">
        <v>20</v>
      </c>
      <c r="L126" s="131" t="s">
        <v>27</v>
      </c>
      <c r="M126" s="138" t="s">
        <v>13</v>
      </c>
    </row>
    <row r="127" spans="1:13" x14ac:dyDescent="0.35">
      <c r="A127" s="242">
        <v>123</v>
      </c>
      <c r="B127" s="231">
        <v>46167</v>
      </c>
      <c r="C127" s="231">
        <v>46168</v>
      </c>
      <c r="D127" s="232">
        <v>0.83333333333333337</v>
      </c>
      <c r="E127" s="232">
        <v>0.33333333333333331</v>
      </c>
      <c r="F127" s="243">
        <v>296000</v>
      </c>
      <c r="G127" s="238">
        <f t="shared" si="0"/>
        <v>296000</v>
      </c>
      <c r="H127" s="216">
        <f t="shared" si="9"/>
        <v>0</v>
      </c>
      <c r="I127" s="136">
        <v>987264577569</v>
      </c>
      <c r="J127" s="136">
        <v>926148441990580</v>
      </c>
      <c r="K127" s="248" t="s">
        <v>154</v>
      </c>
      <c r="L127" s="131" t="s">
        <v>27</v>
      </c>
      <c r="M127" s="138" t="s">
        <v>21</v>
      </c>
    </row>
    <row r="128" spans="1:13" x14ac:dyDescent="0.35">
      <c r="A128" s="242">
        <v>124</v>
      </c>
      <c r="B128" s="231">
        <v>46167</v>
      </c>
      <c r="C128" s="231">
        <v>46168</v>
      </c>
      <c r="D128" s="232">
        <v>0.83333333333333337</v>
      </c>
      <c r="E128" s="232">
        <v>0.33333333333333331</v>
      </c>
      <c r="F128" s="243">
        <v>463000</v>
      </c>
      <c r="G128" s="238">
        <f t="shared" si="0"/>
        <v>463000</v>
      </c>
      <c r="H128" s="216">
        <f t="shared" si="9"/>
        <v>0</v>
      </c>
      <c r="I128" s="136">
        <v>987264577569</v>
      </c>
      <c r="J128" s="136">
        <v>926148441990580</v>
      </c>
      <c r="K128" s="248" t="s">
        <v>24</v>
      </c>
      <c r="L128" s="131" t="s">
        <v>27</v>
      </c>
      <c r="M128" s="138" t="s">
        <v>13</v>
      </c>
    </row>
    <row r="129" spans="1:13" x14ac:dyDescent="0.35">
      <c r="A129" s="131">
        <v>125</v>
      </c>
      <c r="B129" s="240">
        <v>46167</v>
      </c>
      <c r="C129" s="240">
        <v>46167</v>
      </c>
      <c r="D129" s="133">
        <v>0.20833333333333334</v>
      </c>
      <c r="E129" s="133">
        <v>0.91666666666666663</v>
      </c>
      <c r="F129" s="244">
        <v>60000</v>
      </c>
      <c r="G129" s="239">
        <f t="shared" si="0"/>
        <v>60000</v>
      </c>
      <c r="H129" s="234">
        <f t="shared" ref="H129" si="12">F129-G129</f>
        <v>0</v>
      </c>
      <c r="I129" s="235">
        <v>987264740932</v>
      </c>
      <c r="J129" s="235">
        <v>926162446733895</v>
      </c>
      <c r="K129" s="249" t="s">
        <v>169</v>
      </c>
      <c r="L129" s="242" t="s">
        <v>27</v>
      </c>
      <c r="M129" s="245" t="s">
        <v>158</v>
      </c>
    </row>
    <row r="130" spans="1:13" x14ac:dyDescent="0.35">
      <c r="A130" s="242">
        <v>126</v>
      </c>
      <c r="B130" s="231">
        <v>46168</v>
      </c>
      <c r="C130" s="231">
        <v>46168</v>
      </c>
      <c r="D130" s="232">
        <v>0.33333333333333331</v>
      </c>
      <c r="E130" s="232">
        <v>0.83333333333333337</v>
      </c>
      <c r="F130" s="243">
        <v>268000</v>
      </c>
      <c r="G130" s="238">
        <f t="shared" si="0"/>
        <v>268000</v>
      </c>
      <c r="H130" s="216">
        <f t="shared" si="9"/>
        <v>0</v>
      </c>
      <c r="I130" s="136">
        <v>987264600972</v>
      </c>
      <c r="J130" s="136">
        <v>926149442414197</v>
      </c>
      <c r="K130" s="248" t="s">
        <v>19</v>
      </c>
      <c r="L130" s="131" t="s">
        <v>27</v>
      </c>
      <c r="M130" s="138" t="s">
        <v>21</v>
      </c>
    </row>
    <row r="131" spans="1:13" x14ac:dyDescent="0.35">
      <c r="A131" s="242">
        <v>127</v>
      </c>
      <c r="B131" s="231">
        <v>46168</v>
      </c>
      <c r="C131" s="231">
        <v>46168</v>
      </c>
      <c r="D131" s="232">
        <v>0.33333333333333331</v>
      </c>
      <c r="E131" s="232">
        <v>0.83333333333333337</v>
      </c>
      <c r="F131" s="243">
        <v>1398000</v>
      </c>
      <c r="G131" s="238">
        <f t="shared" si="0"/>
        <v>1398000</v>
      </c>
      <c r="H131" s="216">
        <f t="shared" si="9"/>
        <v>0</v>
      </c>
      <c r="I131" s="136">
        <v>987264600972</v>
      </c>
      <c r="J131" s="136">
        <v>926149442414197</v>
      </c>
      <c r="K131" s="248" t="s">
        <v>20</v>
      </c>
      <c r="L131" s="131" t="s">
        <v>27</v>
      </c>
      <c r="M131" s="138" t="s">
        <v>13</v>
      </c>
    </row>
    <row r="132" spans="1:13" x14ac:dyDescent="0.35">
      <c r="A132" s="242">
        <v>128</v>
      </c>
      <c r="B132" s="231">
        <v>46168</v>
      </c>
      <c r="C132" s="231">
        <v>46169</v>
      </c>
      <c r="D132" s="232">
        <v>0.83333333333333337</v>
      </c>
      <c r="E132" s="232">
        <v>0.33333333333333331</v>
      </c>
      <c r="F132" s="243">
        <v>305000</v>
      </c>
      <c r="G132" s="238">
        <f t="shared" si="0"/>
        <v>305000</v>
      </c>
      <c r="H132" s="216">
        <f t="shared" si="9"/>
        <v>0</v>
      </c>
      <c r="I132" s="136">
        <v>987264600972</v>
      </c>
      <c r="J132" s="136">
        <v>926149442414197</v>
      </c>
      <c r="K132" s="248" t="s">
        <v>154</v>
      </c>
      <c r="L132" s="131" t="s">
        <v>27</v>
      </c>
      <c r="M132" s="138" t="s">
        <v>21</v>
      </c>
    </row>
    <row r="133" spans="1:13" x14ac:dyDescent="0.35">
      <c r="A133" s="242">
        <v>129</v>
      </c>
      <c r="B133" s="231">
        <v>46168</v>
      </c>
      <c r="C133" s="231">
        <v>46169</v>
      </c>
      <c r="D133" s="232">
        <v>0.83333333333333337</v>
      </c>
      <c r="E133" s="232">
        <v>0.33333333333333331</v>
      </c>
      <c r="F133" s="243">
        <v>538000</v>
      </c>
      <c r="G133" s="238">
        <f t="shared" si="0"/>
        <v>538000</v>
      </c>
      <c r="H133" s="216">
        <f t="shared" si="9"/>
        <v>0</v>
      </c>
      <c r="I133" s="136">
        <v>987264600972</v>
      </c>
      <c r="J133" s="136">
        <v>926149442414197</v>
      </c>
      <c r="K133" s="248" t="s">
        <v>24</v>
      </c>
      <c r="L133" s="131" t="s">
        <v>27</v>
      </c>
      <c r="M133" s="138" t="s">
        <v>13</v>
      </c>
    </row>
    <row r="134" spans="1:13" x14ac:dyDescent="0.35">
      <c r="A134" s="131">
        <v>130</v>
      </c>
      <c r="B134" s="240">
        <v>46168</v>
      </c>
      <c r="C134" s="240">
        <v>46168</v>
      </c>
      <c r="D134" s="133">
        <v>0.20833333333333334</v>
      </c>
      <c r="E134" s="133">
        <v>0.91666666666666663</v>
      </c>
      <c r="F134" s="244">
        <v>51000</v>
      </c>
      <c r="G134" s="239">
        <f t="shared" si="0"/>
        <v>51000</v>
      </c>
      <c r="H134" s="234">
        <f t="shared" si="9"/>
        <v>0</v>
      </c>
      <c r="I134" s="235">
        <v>987264740934</v>
      </c>
      <c r="J134" s="235">
        <v>926162446733895</v>
      </c>
      <c r="K134" s="249" t="s">
        <v>169</v>
      </c>
      <c r="L134" s="242" t="s">
        <v>27</v>
      </c>
      <c r="M134" s="245" t="s">
        <v>158</v>
      </c>
    </row>
    <row r="135" spans="1:13" x14ac:dyDescent="0.35">
      <c r="A135" s="242">
        <v>131</v>
      </c>
      <c r="B135" s="231">
        <v>46169</v>
      </c>
      <c r="C135" s="231">
        <v>46169</v>
      </c>
      <c r="D135" s="232">
        <v>0.33333333333333331</v>
      </c>
      <c r="E135" s="232">
        <v>0.83333333333333337</v>
      </c>
      <c r="F135" s="243">
        <v>297000</v>
      </c>
      <c r="G135" s="238">
        <f t="shared" si="0"/>
        <v>297000</v>
      </c>
      <c r="H135" s="216">
        <f t="shared" si="9"/>
        <v>0</v>
      </c>
      <c r="I135" s="136">
        <v>987264601000</v>
      </c>
      <c r="J135" s="136">
        <v>926150442700165</v>
      </c>
      <c r="K135" s="248" t="s">
        <v>166</v>
      </c>
      <c r="L135" s="131" t="s">
        <v>27</v>
      </c>
      <c r="M135" s="138" t="s">
        <v>21</v>
      </c>
    </row>
    <row r="136" spans="1:13" x14ac:dyDescent="0.35">
      <c r="A136" s="242">
        <v>132</v>
      </c>
      <c r="B136" s="231">
        <v>46169</v>
      </c>
      <c r="C136" s="231">
        <v>46169</v>
      </c>
      <c r="D136" s="232">
        <v>0.33333333333333331</v>
      </c>
      <c r="E136" s="232">
        <v>0.83333333333333337</v>
      </c>
      <c r="F136" s="243">
        <v>1000000</v>
      </c>
      <c r="G136" s="238">
        <f t="shared" si="0"/>
        <v>1000000</v>
      </c>
      <c r="H136" s="216">
        <f t="shared" si="9"/>
        <v>0</v>
      </c>
      <c r="I136" s="136">
        <v>987264601000</v>
      </c>
      <c r="J136" s="136">
        <v>926150442700165</v>
      </c>
      <c r="K136" s="248" t="s">
        <v>15</v>
      </c>
      <c r="L136" s="131" t="s">
        <v>27</v>
      </c>
      <c r="M136" s="138" t="s">
        <v>13</v>
      </c>
    </row>
    <row r="137" spans="1:13" x14ac:dyDescent="0.35">
      <c r="A137" s="242">
        <v>133</v>
      </c>
      <c r="B137" s="231">
        <v>46169</v>
      </c>
      <c r="C137" s="231">
        <v>46170</v>
      </c>
      <c r="D137" s="232">
        <v>0.83333333333333337</v>
      </c>
      <c r="E137" s="232">
        <v>0.33333333333333331</v>
      </c>
      <c r="F137" s="243">
        <v>245000</v>
      </c>
      <c r="G137" s="238">
        <f t="shared" si="0"/>
        <v>245000</v>
      </c>
      <c r="H137" s="216">
        <f t="shared" si="9"/>
        <v>0</v>
      </c>
      <c r="I137" s="136">
        <v>987264601000</v>
      </c>
      <c r="J137" s="136">
        <v>926150442700165</v>
      </c>
      <c r="K137" s="248" t="s">
        <v>19</v>
      </c>
      <c r="L137" s="131" t="s">
        <v>27</v>
      </c>
      <c r="M137" s="138" t="s">
        <v>21</v>
      </c>
    </row>
    <row r="138" spans="1:13" x14ac:dyDescent="0.35">
      <c r="A138" s="242">
        <v>134</v>
      </c>
      <c r="B138" s="231">
        <v>46169</v>
      </c>
      <c r="C138" s="231">
        <v>46170</v>
      </c>
      <c r="D138" s="232">
        <v>0.83333333333333337</v>
      </c>
      <c r="E138" s="232">
        <v>0.33333333333333331</v>
      </c>
      <c r="F138" s="243">
        <v>673000</v>
      </c>
      <c r="G138" s="238">
        <f t="shared" si="0"/>
        <v>673000</v>
      </c>
      <c r="H138" s="216">
        <f t="shared" si="9"/>
        <v>0</v>
      </c>
      <c r="I138" s="136">
        <v>987264601000</v>
      </c>
      <c r="J138" s="136">
        <v>926150442700165</v>
      </c>
      <c r="K138" s="248" t="s">
        <v>20</v>
      </c>
      <c r="L138" s="131" t="s">
        <v>27</v>
      </c>
      <c r="M138" s="138" t="s">
        <v>13</v>
      </c>
    </row>
    <row r="139" spans="1:13" x14ac:dyDescent="0.35">
      <c r="A139" s="131">
        <v>135</v>
      </c>
      <c r="B139" s="240">
        <v>46169</v>
      </c>
      <c r="C139" s="240">
        <v>46169</v>
      </c>
      <c r="D139" s="133">
        <v>0.20833333333333334</v>
      </c>
      <c r="E139" s="133">
        <v>0.91666666666666663</v>
      </c>
      <c r="F139" s="244">
        <v>91000</v>
      </c>
      <c r="G139" s="239">
        <f t="shared" ref="G139:G143" si="13">SUM(F139)</f>
        <v>91000</v>
      </c>
      <c r="H139" s="234">
        <f t="shared" si="9"/>
        <v>0</v>
      </c>
      <c r="I139" s="235">
        <v>987264740937</v>
      </c>
      <c r="J139" s="235">
        <v>926162446732712</v>
      </c>
      <c r="K139" s="249" t="s">
        <v>157</v>
      </c>
      <c r="L139" s="242" t="s">
        <v>27</v>
      </c>
      <c r="M139" s="245" t="s">
        <v>158</v>
      </c>
    </row>
    <row r="140" spans="1:13" x14ac:dyDescent="0.35">
      <c r="A140" s="242">
        <v>136</v>
      </c>
      <c r="B140" s="231">
        <v>46170</v>
      </c>
      <c r="C140" s="231">
        <v>46170</v>
      </c>
      <c r="D140" s="232">
        <v>0.33333333333333331</v>
      </c>
      <c r="E140" s="232">
        <v>0.83333333333333337</v>
      </c>
      <c r="F140" s="243">
        <v>244000</v>
      </c>
      <c r="G140" s="238">
        <f t="shared" si="13"/>
        <v>244000</v>
      </c>
      <c r="H140" s="216">
        <f t="shared" si="9"/>
        <v>0</v>
      </c>
      <c r="I140" s="136">
        <v>987264639806</v>
      </c>
      <c r="J140" s="136">
        <v>926150443307531</v>
      </c>
      <c r="K140" s="248" t="s">
        <v>166</v>
      </c>
      <c r="L140" s="131" t="s">
        <v>27</v>
      </c>
      <c r="M140" s="138" t="s">
        <v>21</v>
      </c>
    </row>
    <row r="141" spans="1:13" x14ac:dyDescent="0.35">
      <c r="A141" s="242">
        <v>137</v>
      </c>
      <c r="B141" s="231">
        <v>46170</v>
      </c>
      <c r="C141" s="231">
        <v>46170</v>
      </c>
      <c r="D141" s="232">
        <v>0.33333333333333331</v>
      </c>
      <c r="E141" s="232">
        <v>0.83333333333333337</v>
      </c>
      <c r="F141" s="243">
        <v>1084000</v>
      </c>
      <c r="G141" s="238">
        <f t="shared" si="13"/>
        <v>1084000</v>
      </c>
      <c r="H141" s="216">
        <f t="shared" si="9"/>
        <v>0</v>
      </c>
      <c r="I141" s="136">
        <v>987264639806</v>
      </c>
      <c r="J141" s="136">
        <v>926150443307531</v>
      </c>
      <c r="K141" s="248" t="s">
        <v>15</v>
      </c>
      <c r="L141" s="131" t="s">
        <v>27</v>
      </c>
      <c r="M141" s="138" t="s">
        <v>13</v>
      </c>
    </row>
    <row r="142" spans="1:13" x14ac:dyDescent="0.35">
      <c r="A142" s="242">
        <v>138</v>
      </c>
      <c r="B142" s="231">
        <v>46170</v>
      </c>
      <c r="C142" s="231">
        <v>46171</v>
      </c>
      <c r="D142" s="232">
        <v>0.83333333333333337</v>
      </c>
      <c r="E142" s="232">
        <v>0.33333333333333331</v>
      </c>
      <c r="F142" s="243">
        <v>95000</v>
      </c>
      <c r="G142" s="238">
        <f t="shared" si="13"/>
        <v>95000</v>
      </c>
      <c r="H142" s="216">
        <f t="shared" si="9"/>
        <v>0</v>
      </c>
      <c r="I142" s="136">
        <v>987264639806</v>
      </c>
      <c r="J142" s="136">
        <v>926150443307531</v>
      </c>
      <c r="K142" s="248" t="s">
        <v>166</v>
      </c>
      <c r="L142" s="131" t="s">
        <v>27</v>
      </c>
      <c r="M142" s="138" t="s">
        <v>21</v>
      </c>
    </row>
    <row r="143" spans="1:13" x14ac:dyDescent="0.35">
      <c r="A143" s="242">
        <v>139</v>
      </c>
      <c r="B143" s="231">
        <v>46170</v>
      </c>
      <c r="C143" s="231">
        <v>46171</v>
      </c>
      <c r="D143" s="232">
        <v>0.83333333333333337</v>
      </c>
      <c r="E143" s="232">
        <v>0.33333333333333331</v>
      </c>
      <c r="F143" s="243">
        <v>683000</v>
      </c>
      <c r="G143" s="238">
        <f t="shared" si="13"/>
        <v>683000</v>
      </c>
      <c r="H143" s="216">
        <f t="shared" si="9"/>
        <v>0</v>
      </c>
      <c r="I143" s="136">
        <v>987264639806</v>
      </c>
      <c r="J143" s="136">
        <v>926150443307531</v>
      </c>
      <c r="K143" s="248" t="s">
        <v>15</v>
      </c>
      <c r="L143" s="131" t="s">
        <v>27</v>
      </c>
      <c r="M143" s="138" t="s">
        <v>13</v>
      </c>
    </row>
    <row r="144" spans="1:13" x14ac:dyDescent="0.35">
      <c r="A144" s="131">
        <v>140</v>
      </c>
      <c r="B144" s="240">
        <v>46170</v>
      </c>
      <c r="C144" s="240">
        <v>46170</v>
      </c>
      <c r="D144" s="133">
        <v>0.20833333333333334</v>
      </c>
      <c r="E144" s="133">
        <v>0.91666666666666663</v>
      </c>
      <c r="F144" s="244">
        <v>90000</v>
      </c>
      <c r="G144" s="239">
        <f t="shared" ref="G144:G148" si="14">SUM(F144)</f>
        <v>90000</v>
      </c>
      <c r="H144" s="234">
        <f t="shared" si="9"/>
        <v>0</v>
      </c>
      <c r="I144" s="235">
        <v>987264740943</v>
      </c>
      <c r="J144" s="235">
        <v>926162446732380</v>
      </c>
      <c r="K144" s="249" t="s">
        <v>157</v>
      </c>
      <c r="L144" s="242" t="s">
        <v>27</v>
      </c>
      <c r="M144" s="245" t="s">
        <v>158</v>
      </c>
    </row>
    <row r="145" spans="1:13" x14ac:dyDescent="0.35">
      <c r="A145" s="242">
        <v>141</v>
      </c>
      <c r="B145" s="231">
        <v>46171</v>
      </c>
      <c r="C145" s="231">
        <v>46171</v>
      </c>
      <c r="D145" s="232">
        <v>0.33333333333333331</v>
      </c>
      <c r="E145" s="232">
        <v>0.83333333333333337</v>
      </c>
      <c r="F145" s="243">
        <v>285000</v>
      </c>
      <c r="G145" s="238">
        <f t="shared" si="14"/>
        <v>285000</v>
      </c>
      <c r="H145" s="216">
        <f t="shared" si="9"/>
        <v>0</v>
      </c>
      <c r="I145" s="136">
        <v>987264639822</v>
      </c>
      <c r="J145" s="136">
        <v>926150443306858</v>
      </c>
      <c r="K145" s="248" t="s">
        <v>154</v>
      </c>
      <c r="L145" s="131" t="s">
        <v>27</v>
      </c>
      <c r="M145" s="138" t="s">
        <v>21</v>
      </c>
    </row>
    <row r="146" spans="1:13" x14ac:dyDescent="0.35">
      <c r="A146" s="242">
        <v>142</v>
      </c>
      <c r="B146" s="231">
        <v>46171</v>
      </c>
      <c r="C146" s="231">
        <v>46171</v>
      </c>
      <c r="D146" s="232">
        <v>0.33333333333333331</v>
      </c>
      <c r="E146" s="232">
        <v>0.83333333333333337</v>
      </c>
      <c r="F146" s="243">
        <v>1387000</v>
      </c>
      <c r="G146" s="238">
        <f t="shared" si="14"/>
        <v>1387000</v>
      </c>
      <c r="H146" s="216">
        <f t="shared" si="9"/>
        <v>0</v>
      </c>
      <c r="I146" s="136">
        <v>987264639822</v>
      </c>
      <c r="J146" s="136">
        <v>926150443306858</v>
      </c>
      <c r="K146" s="248" t="s">
        <v>24</v>
      </c>
      <c r="L146" s="131" t="s">
        <v>27</v>
      </c>
      <c r="M146" s="138" t="s">
        <v>13</v>
      </c>
    </row>
    <row r="147" spans="1:13" x14ac:dyDescent="0.35">
      <c r="A147" s="242">
        <v>143</v>
      </c>
      <c r="B147" s="231">
        <v>46171</v>
      </c>
      <c r="C147" s="231">
        <v>46172</v>
      </c>
      <c r="D147" s="232">
        <v>0.83333333333333337</v>
      </c>
      <c r="E147" s="232">
        <v>0.33333333333333331</v>
      </c>
      <c r="F147" s="243">
        <v>134000</v>
      </c>
      <c r="G147" s="238">
        <f t="shared" si="14"/>
        <v>134000</v>
      </c>
      <c r="H147" s="216">
        <f t="shared" si="9"/>
        <v>0</v>
      </c>
      <c r="I147" s="136">
        <v>987264639822</v>
      </c>
      <c r="J147" s="136">
        <v>926150443306858</v>
      </c>
      <c r="K147" s="248" t="s">
        <v>166</v>
      </c>
      <c r="L147" s="131" t="s">
        <v>27</v>
      </c>
      <c r="M147" s="138" t="s">
        <v>21</v>
      </c>
    </row>
    <row r="148" spans="1:13" x14ac:dyDescent="0.35">
      <c r="A148" s="242">
        <v>144</v>
      </c>
      <c r="B148" s="231">
        <v>46171</v>
      </c>
      <c r="C148" s="231">
        <v>46172</v>
      </c>
      <c r="D148" s="232">
        <v>0.83333333333333337</v>
      </c>
      <c r="E148" s="232">
        <v>0.33333333333333331</v>
      </c>
      <c r="F148" s="243">
        <v>530000</v>
      </c>
      <c r="G148" s="238">
        <f t="shared" si="14"/>
        <v>530000</v>
      </c>
      <c r="H148" s="216">
        <f t="shared" si="9"/>
        <v>0</v>
      </c>
      <c r="I148" s="136">
        <v>987264639822</v>
      </c>
      <c r="J148" s="136">
        <v>926150443306858</v>
      </c>
      <c r="K148" s="248" t="s">
        <v>15</v>
      </c>
      <c r="L148" s="131" t="s">
        <v>27</v>
      </c>
      <c r="M148" s="138" t="s">
        <v>13</v>
      </c>
    </row>
    <row r="149" spans="1:13" x14ac:dyDescent="0.35">
      <c r="A149" s="131">
        <v>145</v>
      </c>
      <c r="B149" s="240">
        <v>46171</v>
      </c>
      <c r="C149" s="240">
        <v>46171</v>
      </c>
      <c r="D149" s="133">
        <v>0.20833333333333334</v>
      </c>
      <c r="E149" s="133">
        <v>0.91666666666666663</v>
      </c>
      <c r="F149" s="244">
        <v>66000</v>
      </c>
      <c r="G149" s="239">
        <f t="shared" ref="G149:G159" si="15">SUM(F149)</f>
        <v>66000</v>
      </c>
      <c r="H149" s="234">
        <f t="shared" si="9"/>
        <v>0</v>
      </c>
      <c r="I149" s="235">
        <v>987264740949</v>
      </c>
      <c r="J149" s="235">
        <v>926162446731975</v>
      </c>
      <c r="K149" s="249" t="s">
        <v>157</v>
      </c>
      <c r="L149" s="242" t="s">
        <v>27</v>
      </c>
      <c r="M149" s="245" t="s">
        <v>158</v>
      </c>
    </row>
    <row r="150" spans="1:13" x14ac:dyDescent="0.35">
      <c r="A150" s="242">
        <v>146</v>
      </c>
      <c r="B150" s="231">
        <v>46172</v>
      </c>
      <c r="C150" s="231">
        <v>46172</v>
      </c>
      <c r="D150" s="232">
        <v>0.33333333333333331</v>
      </c>
      <c r="E150" s="232">
        <v>0.83333333333333337</v>
      </c>
      <c r="F150" s="243">
        <v>325000</v>
      </c>
      <c r="G150" s="238">
        <f t="shared" si="15"/>
        <v>325000</v>
      </c>
      <c r="H150" s="216">
        <f t="shared" si="9"/>
        <v>0</v>
      </c>
      <c r="I150" s="136">
        <v>987264639830</v>
      </c>
      <c r="J150" s="136">
        <v>926152443305087</v>
      </c>
      <c r="K150" s="248" t="s">
        <v>154</v>
      </c>
      <c r="L150" s="131" t="s">
        <v>27</v>
      </c>
      <c r="M150" s="138" t="s">
        <v>21</v>
      </c>
    </row>
    <row r="151" spans="1:13" x14ac:dyDescent="0.35">
      <c r="A151" s="242">
        <v>147</v>
      </c>
      <c r="B151" s="231">
        <v>46172</v>
      </c>
      <c r="C151" s="231">
        <v>46172</v>
      </c>
      <c r="D151" s="232">
        <v>0.33333333333333331</v>
      </c>
      <c r="E151" s="232">
        <v>0.83333333333333337</v>
      </c>
      <c r="F151" s="243">
        <v>1209000</v>
      </c>
      <c r="G151" s="238">
        <f t="shared" si="15"/>
        <v>1209000</v>
      </c>
      <c r="H151" s="216">
        <f t="shared" si="9"/>
        <v>0</v>
      </c>
      <c r="I151" s="136">
        <v>987264639830</v>
      </c>
      <c r="J151" s="136">
        <v>926152443305087</v>
      </c>
      <c r="K151" s="248" t="s">
        <v>24</v>
      </c>
      <c r="L151" s="131" t="s">
        <v>27</v>
      </c>
      <c r="M151" s="138" t="s">
        <v>13</v>
      </c>
    </row>
    <row r="152" spans="1:13" x14ac:dyDescent="0.35">
      <c r="A152" s="242">
        <v>148</v>
      </c>
      <c r="B152" s="231">
        <v>46172</v>
      </c>
      <c r="C152" s="231">
        <v>46173</v>
      </c>
      <c r="D152" s="232">
        <v>0.83333333333333337</v>
      </c>
      <c r="E152" s="232">
        <v>0.33333333333333331</v>
      </c>
      <c r="F152" s="243">
        <v>157000</v>
      </c>
      <c r="G152" s="238">
        <f t="shared" si="15"/>
        <v>157000</v>
      </c>
      <c r="H152" s="216">
        <f t="shared" si="9"/>
        <v>0</v>
      </c>
      <c r="I152" s="136">
        <v>987264639830</v>
      </c>
      <c r="J152" s="136">
        <v>926152443305087</v>
      </c>
      <c r="K152" s="248" t="s">
        <v>166</v>
      </c>
      <c r="L152" s="131" t="s">
        <v>27</v>
      </c>
      <c r="M152" s="138" t="s">
        <v>21</v>
      </c>
    </row>
    <row r="153" spans="1:13" x14ac:dyDescent="0.35">
      <c r="A153" s="242">
        <v>149</v>
      </c>
      <c r="B153" s="231">
        <v>46172</v>
      </c>
      <c r="C153" s="231">
        <v>46173</v>
      </c>
      <c r="D153" s="232">
        <v>0.83333333333333337</v>
      </c>
      <c r="E153" s="232">
        <v>0.33333333333333331</v>
      </c>
      <c r="F153" s="243">
        <v>624000</v>
      </c>
      <c r="G153" s="238">
        <f t="shared" si="15"/>
        <v>624000</v>
      </c>
      <c r="H153" s="216">
        <f t="shared" si="9"/>
        <v>0</v>
      </c>
      <c r="I153" s="136">
        <v>987264639830</v>
      </c>
      <c r="J153" s="136">
        <v>926152443305087</v>
      </c>
      <c r="K153" s="248" t="s">
        <v>15</v>
      </c>
      <c r="L153" s="131" t="s">
        <v>27</v>
      </c>
      <c r="M153" s="138" t="s">
        <v>13</v>
      </c>
    </row>
    <row r="154" spans="1:13" x14ac:dyDescent="0.35">
      <c r="A154" s="131">
        <v>150</v>
      </c>
      <c r="B154" s="240">
        <v>46172</v>
      </c>
      <c r="C154" s="240">
        <v>46172</v>
      </c>
      <c r="D154" s="133">
        <v>0.20833333333333334</v>
      </c>
      <c r="E154" s="133">
        <v>0.91666666666666663</v>
      </c>
      <c r="F154" s="244">
        <v>70000</v>
      </c>
      <c r="G154" s="239">
        <f t="shared" ref="G154" si="16">SUM(F154)</f>
        <v>70000</v>
      </c>
      <c r="H154" s="234"/>
      <c r="I154" s="235">
        <v>987264740951</v>
      </c>
      <c r="J154" s="235">
        <v>926162446731612</v>
      </c>
      <c r="K154" s="249" t="s">
        <v>157</v>
      </c>
      <c r="L154" s="242" t="s">
        <v>27</v>
      </c>
      <c r="M154" s="245" t="s">
        <v>158</v>
      </c>
    </row>
    <row r="155" spans="1:13" x14ac:dyDescent="0.35">
      <c r="A155" s="242">
        <v>151</v>
      </c>
      <c r="B155" s="231">
        <v>46173</v>
      </c>
      <c r="C155" s="231">
        <v>46173</v>
      </c>
      <c r="D155" s="232">
        <v>0.33333333333333331</v>
      </c>
      <c r="E155" s="232">
        <v>0.83333333333333337</v>
      </c>
      <c r="F155" s="243">
        <v>843000</v>
      </c>
      <c r="G155" s="238">
        <f t="shared" si="15"/>
        <v>843000</v>
      </c>
      <c r="H155" s="216">
        <f t="shared" si="9"/>
        <v>0</v>
      </c>
      <c r="I155" s="136">
        <v>987264639841</v>
      </c>
      <c r="J155" s="136">
        <v>926152443881349</v>
      </c>
      <c r="K155" s="248" t="s">
        <v>19</v>
      </c>
      <c r="L155" s="131" t="s">
        <v>27</v>
      </c>
      <c r="M155" s="138" t="s">
        <v>21</v>
      </c>
    </row>
    <row r="156" spans="1:13" x14ac:dyDescent="0.35">
      <c r="A156" s="242">
        <v>152</v>
      </c>
      <c r="B156" s="231">
        <v>46173</v>
      </c>
      <c r="C156" s="231">
        <v>46173</v>
      </c>
      <c r="D156" s="232">
        <v>0.33333333333333331</v>
      </c>
      <c r="E156" s="232">
        <v>0.83333333333333337</v>
      </c>
      <c r="F156" s="243">
        <v>1751000</v>
      </c>
      <c r="G156" s="238">
        <f t="shared" si="15"/>
        <v>1751000</v>
      </c>
      <c r="H156" s="216">
        <f t="shared" si="9"/>
        <v>0</v>
      </c>
      <c r="I156" s="136">
        <v>987264639841</v>
      </c>
      <c r="J156" s="136">
        <v>926152443881349</v>
      </c>
      <c r="K156" s="248" t="s">
        <v>20</v>
      </c>
      <c r="L156" s="131" t="s">
        <v>27</v>
      </c>
      <c r="M156" s="138" t="s">
        <v>13</v>
      </c>
    </row>
    <row r="157" spans="1:13" x14ac:dyDescent="0.35">
      <c r="A157" s="242">
        <v>153</v>
      </c>
      <c r="B157" s="231">
        <v>46173</v>
      </c>
      <c r="C157" s="231">
        <v>46174</v>
      </c>
      <c r="D157" s="232">
        <v>0.83333333333333337</v>
      </c>
      <c r="E157" s="232">
        <v>0.33333333333333331</v>
      </c>
      <c r="F157" s="243">
        <v>243000</v>
      </c>
      <c r="G157" s="238">
        <f t="shared" si="15"/>
        <v>243000</v>
      </c>
      <c r="H157" s="216">
        <f t="shared" si="9"/>
        <v>0</v>
      </c>
      <c r="I157" s="136">
        <v>987264639841</v>
      </c>
      <c r="J157" s="136">
        <v>926152443881349</v>
      </c>
      <c r="K157" s="248" t="s">
        <v>154</v>
      </c>
      <c r="L157" s="131" t="s">
        <v>27</v>
      </c>
      <c r="M157" s="138" t="s">
        <v>21</v>
      </c>
    </row>
    <row r="158" spans="1:13" x14ac:dyDescent="0.35">
      <c r="A158" s="242">
        <v>154</v>
      </c>
      <c r="B158" s="231">
        <v>46173</v>
      </c>
      <c r="C158" s="231">
        <v>46174</v>
      </c>
      <c r="D158" s="232">
        <v>0.83333333333333337</v>
      </c>
      <c r="E158" s="232">
        <v>0.33333333333333331</v>
      </c>
      <c r="F158" s="243">
        <v>971000</v>
      </c>
      <c r="G158" s="238">
        <f t="shared" si="15"/>
        <v>971000</v>
      </c>
      <c r="H158" s="216">
        <f t="shared" si="9"/>
        <v>0</v>
      </c>
      <c r="I158" s="136">
        <v>987264639841</v>
      </c>
      <c r="J158" s="136">
        <v>926152443881349</v>
      </c>
      <c r="K158" s="248" t="s">
        <v>24</v>
      </c>
      <c r="L158" s="131" t="s">
        <v>27</v>
      </c>
      <c r="M158" s="138" t="s">
        <v>13</v>
      </c>
    </row>
    <row r="159" spans="1:13" x14ac:dyDescent="0.35">
      <c r="A159" s="131">
        <v>155</v>
      </c>
      <c r="B159" s="240">
        <v>46173</v>
      </c>
      <c r="C159" s="240">
        <v>46173</v>
      </c>
      <c r="D159" s="133">
        <v>0.20833333333333334</v>
      </c>
      <c r="E159" s="133">
        <v>0.91666666666666663</v>
      </c>
      <c r="F159" s="244">
        <v>55000</v>
      </c>
      <c r="G159" s="239">
        <f t="shared" si="15"/>
        <v>55000</v>
      </c>
      <c r="H159" s="234">
        <f t="shared" si="9"/>
        <v>0</v>
      </c>
      <c r="I159" s="235">
        <v>987264740953</v>
      </c>
      <c r="J159" s="235">
        <v>926162446731279</v>
      </c>
      <c r="K159" s="249" t="s">
        <v>157</v>
      </c>
      <c r="L159" s="242" t="s">
        <v>27</v>
      </c>
      <c r="M159" s="245" t="s">
        <v>158</v>
      </c>
    </row>
    <row r="160" spans="1:13" x14ac:dyDescent="0.35">
      <c r="A160" s="404" t="s">
        <v>4</v>
      </c>
      <c r="B160" s="405"/>
      <c r="C160" s="405"/>
      <c r="D160" s="405"/>
      <c r="E160" s="406"/>
      <c r="F160" s="246">
        <f>SUM(F5:F159)</f>
        <v>76893000</v>
      </c>
      <c r="G160" s="246">
        <f>SUM(G5:G159)</f>
        <v>76893000</v>
      </c>
      <c r="H160" s="246"/>
      <c r="I160" s="247"/>
      <c r="J160" s="247"/>
      <c r="K160" s="250"/>
      <c r="L160" s="247"/>
      <c r="M160" s="247"/>
    </row>
  </sheetData>
  <mergeCells count="4">
    <mergeCell ref="C1:N1"/>
    <mergeCell ref="C2:N2"/>
    <mergeCell ref="C3:N3"/>
    <mergeCell ref="A160:E160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2EA91-E6F3-43A0-AC23-F2D1EAF97D9D}">
  <dimension ref="A1:N155"/>
  <sheetViews>
    <sheetView topLeftCell="E82" workbookViewId="0">
      <selection activeCell="J82" sqref="J82"/>
    </sheetView>
  </sheetViews>
  <sheetFormatPr defaultRowHeight="14.5" x14ac:dyDescent="0.35"/>
  <cols>
    <col min="1" max="1" width="8.7265625" style="1"/>
    <col min="2" max="2" width="13.453125" style="1" customWidth="1"/>
    <col min="3" max="3" width="14.08984375" customWidth="1"/>
    <col min="4" max="4" width="11.1796875" customWidth="1"/>
    <col min="5" max="5" width="13.54296875" customWidth="1"/>
    <col min="6" max="6" width="20.08984375" style="210" customWidth="1"/>
    <col min="7" max="7" width="21.7265625" customWidth="1"/>
    <col min="8" max="8" width="16.36328125" customWidth="1"/>
    <col min="9" max="9" width="18.81640625" customWidth="1"/>
    <col min="10" max="10" width="20.1796875" customWidth="1"/>
    <col min="11" max="11" width="15.6328125" customWidth="1"/>
    <col min="12" max="12" width="21.6328125" style="1" customWidth="1"/>
    <col min="13" max="13" width="14.7265625" customWidth="1"/>
    <col min="14" max="14" width="8.7265625" hidden="1" customWidth="1"/>
  </cols>
  <sheetData>
    <row r="1" spans="1:14" x14ac:dyDescent="0.35">
      <c r="A1" s="268"/>
      <c r="B1" s="268"/>
      <c r="C1" s="313" t="s">
        <v>50</v>
      </c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4"/>
    </row>
    <row r="2" spans="1:14" x14ac:dyDescent="0.35">
      <c r="A2" s="268"/>
      <c r="B2" s="268"/>
      <c r="C2" s="315">
        <v>46174</v>
      </c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6"/>
    </row>
    <row r="3" spans="1:14" ht="15" thickBot="1" x14ac:dyDescent="0.4">
      <c r="A3" s="268"/>
      <c r="B3" s="268"/>
      <c r="C3" s="317" t="s">
        <v>155</v>
      </c>
      <c r="D3" s="317"/>
      <c r="E3" s="317"/>
      <c r="F3" s="317"/>
      <c r="G3" s="317"/>
      <c r="H3" s="317"/>
      <c r="I3" s="317"/>
      <c r="J3" s="317"/>
      <c r="K3" s="317"/>
      <c r="L3" s="317"/>
      <c r="M3" s="317"/>
      <c r="N3" s="318"/>
    </row>
    <row r="4" spans="1:14" x14ac:dyDescent="0.35">
      <c r="A4" s="252" t="s">
        <v>52</v>
      </c>
      <c r="B4" s="253" t="s">
        <v>2</v>
      </c>
      <c r="C4" s="254" t="s">
        <v>3</v>
      </c>
      <c r="D4" s="252" t="s">
        <v>0</v>
      </c>
      <c r="E4" s="252" t="s">
        <v>1</v>
      </c>
      <c r="F4" s="255" t="s">
        <v>10</v>
      </c>
      <c r="G4" s="256" t="s">
        <v>9</v>
      </c>
      <c r="H4" s="257" t="s">
        <v>11</v>
      </c>
      <c r="I4" s="258" t="s">
        <v>18</v>
      </c>
      <c r="J4" s="252" t="s">
        <v>17</v>
      </c>
      <c r="K4" s="253" t="s">
        <v>5</v>
      </c>
      <c r="L4" s="252" t="s">
        <v>8</v>
      </c>
      <c r="M4" s="252" t="s">
        <v>6</v>
      </c>
    </row>
    <row r="5" spans="1:14" x14ac:dyDescent="0.35">
      <c r="A5" s="259">
        <v>1</v>
      </c>
      <c r="B5" s="262">
        <v>46174</v>
      </c>
      <c r="C5" s="263">
        <v>46174</v>
      </c>
      <c r="D5" s="260">
        <v>0.33333333333333331</v>
      </c>
      <c r="E5" s="260">
        <v>0.83333333333333337</v>
      </c>
      <c r="F5" s="264">
        <v>482000</v>
      </c>
      <c r="G5" s="264" t="s">
        <v>176</v>
      </c>
      <c r="H5" s="282" t="e">
        <f t="shared" ref="H5:H71" si="0">F5-G5</f>
        <v>#VALUE!</v>
      </c>
      <c r="I5" s="284">
        <v>987264683388</v>
      </c>
      <c r="J5" s="284">
        <v>926156444725381</v>
      </c>
      <c r="K5" s="265" t="s">
        <v>19</v>
      </c>
      <c r="L5" s="284" t="s">
        <v>27</v>
      </c>
      <c r="M5" s="267" t="s">
        <v>13</v>
      </c>
    </row>
    <row r="6" spans="1:14" x14ac:dyDescent="0.35">
      <c r="A6" s="259">
        <v>2</v>
      </c>
      <c r="B6" s="262">
        <v>46174</v>
      </c>
      <c r="C6" s="263">
        <v>46174</v>
      </c>
      <c r="D6" s="260">
        <v>0.33333333333333331</v>
      </c>
      <c r="E6" s="260">
        <v>0.83333333333333337</v>
      </c>
      <c r="F6" s="264">
        <v>1425000</v>
      </c>
      <c r="G6" s="264">
        <f t="shared" ref="G6:G68" si="1">SUM(F6)</f>
        <v>1425000</v>
      </c>
      <c r="H6" s="282">
        <f t="shared" si="0"/>
        <v>0</v>
      </c>
      <c r="I6" s="284">
        <v>987264683388</v>
      </c>
      <c r="J6" s="284">
        <v>926156444725381</v>
      </c>
      <c r="K6" s="265" t="s">
        <v>20</v>
      </c>
      <c r="L6" s="284" t="s">
        <v>27</v>
      </c>
      <c r="M6" s="267" t="s">
        <v>21</v>
      </c>
    </row>
    <row r="7" spans="1:14" x14ac:dyDescent="0.35">
      <c r="A7" s="259">
        <v>3</v>
      </c>
      <c r="B7" s="262">
        <v>46174</v>
      </c>
      <c r="C7" s="263">
        <v>46175</v>
      </c>
      <c r="D7" s="260">
        <v>0.83333333333333337</v>
      </c>
      <c r="E7" s="260">
        <v>0.33333333333333331</v>
      </c>
      <c r="F7" s="278">
        <v>488000</v>
      </c>
      <c r="G7" s="264">
        <f t="shared" si="1"/>
        <v>488000</v>
      </c>
      <c r="H7" s="282">
        <f t="shared" si="0"/>
        <v>0</v>
      </c>
      <c r="I7" s="284">
        <v>987264683388</v>
      </c>
      <c r="J7" s="284">
        <v>926156444725381</v>
      </c>
      <c r="K7" s="267" t="s">
        <v>172</v>
      </c>
      <c r="L7" s="284" t="s">
        <v>27</v>
      </c>
      <c r="M7" s="267" t="s">
        <v>21</v>
      </c>
    </row>
    <row r="8" spans="1:14" x14ac:dyDescent="0.35">
      <c r="A8" s="259">
        <v>4</v>
      </c>
      <c r="B8" s="262">
        <v>46174</v>
      </c>
      <c r="C8" s="263">
        <v>46175</v>
      </c>
      <c r="D8" s="260">
        <v>0.83333333333333337</v>
      </c>
      <c r="E8" s="260">
        <v>0.33333333333333331</v>
      </c>
      <c r="F8" s="278">
        <v>528000</v>
      </c>
      <c r="G8" s="264">
        <f t="shared" si="1"/>
        <v>528000</v>
      </c>
      <c r="H8" s="282">
        <f t="shared" si="0"/>
        <v>0</v>
      </c>
      <c r="I8" s="284">
        <v>987264683388</v>
      </c>
      <c r="J8" s="284">
        <v>926156444725381</v>
      </c>
      <c r="K8" s="267" t="s">
        <v>24</v>
      </c>
      <c r="L8" s="284" t="s">
        <v>27</v>
      </c>
      <c r="M8" s="267" t="s">
        <v>13</v>
      </c>
    </row>
    <row r="9" spans="1:14" s="272" customFormat="1" ht="14" x14ac:dyDescent="0.3">
      <c r="A9" s="169">
        <v>5</v>
      </c>
      <c r="B9" s="269">
        <v>46174</v>
      </c>
      <c r="C9" s="269">
        <v>46174</v>
      </c>
      <c r="D9" s="261">
        <v>0.20833333333333334</v>
      </c>
      <c r="E9" s="261">
        <v>0.91666666666666663</v>
      </c>
      <c r="F9" s="277">
        <v>50000</v>
      </c>
      <c r="G9" s="271">
        <f t="shared" si="1"/>
        <v>50000</v>
      </c>
      <c r="H9" s="273"/>
      <c r="I9" s="298">
        <v>987264966368</v>
      </c>
      <c r="J9" s="298">
        <v>926182453907142</v>
      </c>
      <c r="K9" s="273" t="s">
        <v>163</v>
      </c>
      <c r="L9" s="169" t="s">
        <v>27</v>
      </c>
      <c r="M9" s="274" t="s">
        <v>158</v>
      </c>
    </row>
    <row r="10" spans="1:14" x14ac:dyDescent="0.35">
      <c r="A10" s="259">
        <v>6</v>
      </c>
      <c r="B10" s="263">
        <v>46175</v>
      </c>
      <c r="C10" s="263">
        <v>46175</v>
      </c>
      <c r="D10" s="260">
        <v>0.33333333333333331</v>
      </c>
      <c r="E10" s="260">
        <v>0.83333333333333337</v>
      </c>
      <c r="F10" s="278">
        <v>278000</v>
      </c>
      <c r="G10" s="264">
        <f t="shared" si="1"/>
        <v>278000</v>
      </c>
      <c r="H10" s="282">
        <f t="shared" si="0"/>
        <v>0</v>
      </c>
      <c r="I10" s="284">
        <v>987264683390</v>
      </c>
      <c r="J10" s="284">
        <v>926156444721824</v>
      </c>
      <c r="K10" s="267" t="s">
        <v>166</v>
      </c>
      <c r="L10" s="266" t="s">
        <v>27</v>
      </c>
      <c r="M10" s="267" t="s">
        <v>21</v>
      </c>
    </row>
    <row r="11" spans="1:14" x14ac:dyDescent="0.35">
      <c r="A11" s="259">
        <v>7</v>
      </c>
      <c r="B11" s="263">
        <v>46175</v>
      </c>
      <c r="C11" s="263">
        <v>46175</v>
      </c>
      <c r="D11" s="260">
        <v>0.33333333333333331</v>
      </c>
      <c r="E11" s="260">
        <v>0.83333333333333337</v>
      </c>
      <c r="F11" s="278">
        <v>1142000</v>
      </c>
      <c r="G11" s="264">
        <f t="shared" si="1"/>
        <v>1142000</v>
      </c>
      <c r="H11" s="282">
        <f t="shared" si="0"/>
        <v>0</v>
      </c>
      <c r="I11" s="284">
        <v>987264683390</v>
      </c>
      <c r="J11" s="284">
        <v>926156444721824</v>
      </c>
      <c r="K11" s="267" t="s">
        <v>15</v>
      </c>
      <c r="L11" s="266" t="s">
        <v>27</v>
      </c>
      <c r="M11" s="267" t="s">
        <v>13</v>
      </c>
    </row>
    <row r="12" spans="1:14" x14ac:dyDescent="0.35">
      <c r="A12" s="259">
        <v>8</v>
      </c>
      <c r="B12" s="263">
        <v>46175</v>
      </c>
      <c r="C12" s="263">
        <v>46176</v>
      </c>
      <c r="D12" s="260">
        <v>0.83333333333333337</v>
      </c>
      <c r="E12" s="260">
        <v>0.33333333333333331</v>
      </c>
      <c r="F12" s="278">
        <v>249000</v>
      </c>
      <c r="G12" s="264">
        <f t="shared" si="1"/>
        <v>249000</v>
      </c>
      <c r="H12" s="282">
        <f t="shared" si="0"/>
        <v>0</v>
      </c>
      <c r="I12" s="284">
        <v>987264683390</v>
      </c>
      <c r="J12" s="284">
        <v>926156444721824</v>
      </c>
      <c r="K12" s="267" t="s">
        <v>19</v>
      </c>
      <c r="L12" s="266" t="s">
        <v>27</v>
      </c>
      <c r="M12" s="267" t="s">
        <v>21</v>
      </c>
    </row>
    <row r="13" spans="1:14" x14ac:dyDescent="0.35">
      <c r="A13" s="259">
        <v>9</v>
      </c>
      <c r="B13" s="263">
        <v>46175</v>
      </c>
      <c r="C13" s="263">
        <v>46176</v>
      </c>
      <c r="D13" s="260">
        <v>0.83333333333333337</v>
      </c>
      <c r="E13" s="260">
        <v>0.33333333333333331</v>
      </c>
      <c r="F13" s="278">
        <v>481000</v>
      </c>
      <c r="G13" s="264">
        <f t="shared" si="1"/>
        <v>481000</v>
      </c>
      <c r="H13" s="282">
        <f t="shared" si="0"/>
        <v>0</v>
      </c>
      <c r="I13" s="284">
        <v>987264683390</v>
      </c>
      <c r="J13" s="284">
        <v>926156444721824</v>
      </c>
      <c r="K13" s="267" t="s">
        <v>20</v>
      </c>
      <c r="L13" s="266" t="s">
        <v>27</v>
      </c>
      <c r="M13" s="267" t="s">
        <v>13</v>
      </c>
    </row>
    <row r="14" spans="1:14" x14ac:dyDescent="0.35">
      <c r="A14" s="169">
        <v>10</v>
      </c>
      <c r="B14" s="270">
        <v>46175</v>
      </c>
      <c r="C14" s="270">
        <v>46175</v>
      </c>
      <c r="D14" s="261">
        <v>0.20833333333333334</v>
      </c>
      <c r="E14" s="261">
        <v>0.91666666666666663</v>
      </c>
      <c r="F14" s="277">
        <v>44000</v>
      </c>
      <c r="G14" s="271">
        <f t="shared" si="1"/>
        <v>44000</v>
      </c>
      <c r="H14" s="273"/>
      <c r="I14" s="298">
        <v>987264966394</v>
      </c>
      <c r="J14" s="298">
        <v>926182453904141</v>
      </c>
      <c r="K14" s="273" t="s">
        <v>163</v>
      </c>
      <c r="L14" s="169" t="s">
        <v>27</v>
      </c>
      <c r="M14" s="274" t="s">
        <v>158</v>
      </c>
    </row>
    <row r="15" spans="1:14" x14ac:dyDescent="0.35">
      <c r="A15" s="259">
        <v>11</v>
      </c>
      <c r="B15" s="263">
        <v>46176</v>
      </c>
      <c r="C15" s="263">
        <v>46176</v>
      </c>
      <c r="D15" s="260">
        <v>0.33333333333333331</v>
      </c>
      <c r="E15" s="260">
        <v>0.83333333333333337</v>
      </c>
      <c r="F15" s="278">
        <v>310000</v>
      </c>
      <c r="G15" s="264">
        <f t="shared" si="1"/>
        <v>310000</v>
      </c>
      <c r="H15" s="282">
        <f t="shared" si="0"/>
        <v>0</v>
      </c>
      <c r="I15" s="284">
        <v>987264683391</v>
      </c>
      <c r="J15" s="284">
        <v>926157445147137</v>
      </c>
      <c r="K15" s="267" t="s">
        <v>166</v>
      </c>
      <c r="L15" s="266" t="s">
        <v>27</v>
      </c>
      <c r="M15" s="267" t="s">
        <v>21</v>
      </c>
    </row>
    <row r="16" spans="1:14" x14ac:dyDescent="0.35">
      <c r="A16" s="259">
        <v>12</v>
      </c>
      <c r="B16" s="263">
        <v>46176</v>
      </c>
      <c r="C16" s="263">
        <v>46176</v>
      </c>
      <c r="D16" s="260">
        <v>0.33333333333333331</v>
      </c>
      <c r="E16" s="260">
        <v>0.83333333333333337</v>
      </c>
      <c r="F16" s="278">
        <v>1115000</v>
      </c>
      <c r="G16" s="264">
        <f t="shared" si="1"/>
        <v>1115000</v>
      </c>
      <c r="H16" s="282">
        <f t="shared" si="0"/>
        <v>0</v>
      </c>
      <c r="I16" s="284">
        <v>987264683391</v>
      </c>
      <c r="J16" s="284">
        <v>926157445147137</v>
      </c>
      <c r="K16" s="267" t="s">
        <v>15</v>
      </c>
      <c r="L16" s="266" t="s">
        <v>27</v>
      </c>
      <c r="M16" s="267" t="s">
        <v>13</v>
      </c>
    </row>
    <row r="17" spans="1:13" x14ac:dyDescent="0.35">
      <c r="A17" s="259">
        <v>13</v>
      </c>
      <c r="B17" s="263">
        <v>46176</v>
      </c>
      <c r="C17" s="263">
        <v>46177</v>
      </c>
      <c r="D17" s="260">
        <v>0.83333333333333337</v>
      </c>
      <c r="E17" s="260">
        <v>0.33333333333333331</v>
      </c>
      <c r="F17" s="278">
        <v>142000</v>
      </c>
      <c r="G17" s="264">
        <f t="shared" si="1"/>
        <v>142000</v>
      </c>
      <c r="H17" s="282">
        <f t="shared" si="0"/>
        <v>0</v>
      </c>
      <c r="I17" s="284">
        <v>987264683391</v>
      </c>
      <c r="J17" s="284">
        <v>926157445147137</v>
      </c>
      <c r="K17" s="267" t="s">
        <v>19</v>
      </c>
      <c r="L17" s="266" t="s">
        <v>27</v>
      </c>
      <c r="M17" s="267" t="s">
        <v>21</v>
      </c>
    </row>
    <row r="18" spans="1:13" x14ac:dyDescent="0.35">
      <c r="A18" s="259">
        <v>14</v>
      </c>
      <c r="B18" s="263">
        <v>46176</v>
      </c>
      <c r="C18" s="263">
        <v>46177</v>
      </c>
      <c r="D18" s="260">
        <v>0.83333333333333337</v>
      </c>
      <c r="E18" s="260">
        <v>0.33333333333333331</v>
      </c>
      <c r="F18" s="278">
        <v>620000</v>
      </c>
      <c r="G18" s="264">
        <f t="shared" si="1"/>
        <v>620000</v>
      </c>
      <c r="H18" s="282">
        <f t="shared" si="0"/>
        <v>0</v>
      </c>
      <c r="I18" s="284">
        <v>987264683391</v>
      </c>
      <c r="J18" s="284">
        <v>926157445147137</v>
      </c>
      <c r="K18" s="267" t="s">
        <v>20</v>
      </c>
      <c r="L18" s="266" t="s">
        <v>27</v>
      </c>
      <c r="M18" s="267" t="s">
        <v>13</v>
      </c>
    </row>
    <row r="19" spans="1:13" x14ac:dyDescent="0.35">
      <c r="A19" s="169">
        <v>15</v>
      </c>
      <c r="B19" s="270">
        <v>46176</v>
      </c>
      <c r="C19" s="270">
        <v>46176</v>
      </c>
      <c r="D19" s="261">
        <v>0.20833333333333334</v>
      </c>
      <c r="E19" s="261">
        <v>0.91666666666666663</v>
      </c>
      <c r="F19" s="277">
        <v>51000</v>
      </c>
      <c r="G19" s="271">
        <f t="shared" si="1"/>
        <v>51000</v>
      </c>
      <c r="H19" s="273"/>
      <c r="I19" s="298">
        <v>987264966407</v>
      </c>
      <c r="J19" s="298">
        <v>926182453901798</v>
      </c>
      <c r="K19" s="273" t="s">
        <v>163</v>
      </c>
      <c r="L19" s="169" t="s">
        <v>27</v>
      </c>
      <c r="M19" s="274" t="s">
        <v>158</v>
      </c>
    </row>
    <row r="20" spans="1:13" x14ac:dyDescent="0.35">
      <c r="A20" s="259">
        <v>16</v>
      </c>
      <c r="B20" s="263">
        <v>46177</v>
      </c>
      <c r="C20" s="263">
        <v>46177</v>
      </c>
      <c r="D20" s="260">
        <v>0.33333333333333331</v>
      </c>
      <c r="E20" s="260">
        <v>0.83333333333333337</v>
      </c>
      <c r="F20" s="278">
        <v>373000</v>
      </c>
      <c r="G20" s="264">
        <f t="shared" si="1"/>
        <v>373000</v>
      </c>
      <c r="H20" s="282">
        <f t="shared" si="0"/>
        <v>0</v>
      </c>
      <c r="I20" s="284">
        <v>987264690720</v>
      </c>
      <c r="J20" s="284">
        <v>926157445346782</v>
      </c>
      <c r="K20" s="267" t="s">
        <v>172</v>
      </c>
      <c r="L20" s="266" t="s">
        <v>27</v>
      </c>
      <c r="M20" s="267" t="s">
        <v>21</v>
      </c>
    </row>
    <row r="21" spans="1:13" x14ac:dyDescent="0.35">
      <c r="A21" s="259">
        <v>17</v>
      </c>
      <c r="B21" s="263">
        <v>46177</v>
      </c>
      <c r="C21" s="263">
        <v>46177</v>
      </c>
      <c r="D21" s="260">
        <v>0.33333333333333331</v>
      </c>
      <c r="E21" s="260">
        <v>0.83333333333333337</v>
      </c>
      <c r="F21" s="278">
        <v>1172000</v>
      </c>
      <c r="G21" s="264">
        <f t="shared" si="1"/>
        <v>1172000</v>
      </c>
      <c r="H21" s="282">
        <f t="shared" si="0"/>
        <v>0</v>
      </c>
      <c r="I21" s="284">
        <v>987264690720</v>
      </c>
      <c r="J21" s="284">
        <v>926157445346782</v>
      </c>
      <c r="K21" s="267" t="s">
        <v>24</v>
      </c>
      <c r="L21" s="266" t="s">
        <v>27</v>
      </c>
      <c r="M21" s="267" t="s">
        <v>13</v>
      </c>
    </row>
    <row r="22" spans="1:13" x14ac:dyDescent="0.35">
      <c r="A22" s="259">
        <v>18</v>
      </c>
      <c r="B22" s="263">
        <v>46177</v>
      </c>
      <c r="C22" s="263">
        <v>46178</v>
      </c>
      <c r="D22" s="260">
        <v>0.83333333333333337</v>
      </c>
      <c r="E22" s="260">
        <v>0.33333333333333331</v>
      </c>
      <c r="F22" s="278">
        <v>240000</v>
      </c>
      <c r="G22" s="264">
        <f t="shared" si="1"/>
        <v>240000</v>
      </c>
      <c r="H22" s="282">
        <f t="shared" si="0"/>
        <v>0</v>
      </c>
      <c r="I22" s="284">
        <v>987264690720</v>
      </c>
      <c r="J22" s="284">
        <v>926157445346782</v>
      </c>
      <c r="K22" s="267" t="s">
        <v>166</v>
      </c>
      <c r="L22" s="266" t="s">
        <v>27</v>
      </c>
      <c r="M22" s="267" t="s">
        <v>21</v>
      </c>
    </row>
    <row r="23" spans="1:13" x14ac:dyDescent="0.35">
      <c r="A23" s="259">
        <v>19</v>
      </c>
      <c r="B23" s="263">
        <v>46177</v>
      </c>
      <c r="C23" s="263">
        <v>46178</v>
      </c>
      <c r="D23" s="260">
        <v>0.83333333333333337</v>
      </c>
      <c r="E23" s="260">
        <v>0.33333333333333331</v>
      </c>
      <c r="F23" s="278">
        <v>619000</v>
      </c>
      <c r="G23" s="264">
        <f t="shared" si="1"/>
        <v>619000</v>
      </c>
      <c r="H23" s="282">
        <f t="shared" si="0"/>
        <v>0</v>
      </c>
      <c r="I23" s="284">
        <v>987264690720</v>
      </c>
      <c r="J23" s="284">
        <v>926157445346782</v>
      </c>
      <c r="K23" s="267" t="s">
        <v>15</v>
      </c>
      <c r="L23" s="266" t="s">
        <v>27</v>
      </c>
      <c r="M23" s="267" t="s">
        <v>13</v>
      </c>
    </row>
    <row r="24" spans="1:13" x14ac:dyDescent="0.35">
      <c r="A24" s="169">
        <v>20</v>
      </c>
      <c r="B24" s="270">
        <v>46177</v>
      </c>
      <c r="C24" s="270">
        <v>46177</v>
      </c>
      <c r="D24" s="261">
        <v>0.20833333333333334</v>
      </c>
      <c r="E24" s="261">
        <v>0.91666666666666663</v>
      </c>
      <c r="F24" s="277">
        <v>39000</v>
      </c>
      <c r="G24" s="271">
        <f t="shared" si="1"/>
        <v>39000</v>
      </c>
      <c r="H24" s="273"/>
      <c r="I24" s="298">
        <v>987264966414</v>
      </c>
      <c r="J24" s="298">
        <v>926182453901352</v>
      </c>
      <c r="K24" s="273" t="s">
        <v>163</v>
      </c>
      <c r="L24" s="169" t="s">
        <v>27</v>
      </c>
      <c r="M24" s="274" t="s">
        <v>158</v>
      </c>
    </row>
    <row r="25" spans="1:13" x14ac:dyDescent="0.35">
      <c r="A25" s="259">
        <v>21</v>
      </c>
      <c r="B25" s="263">
        <v>46178</v>
      </c>
      <c r="C25" s="263">
        <v>46178</v>
      </c>
      <c r="D25" s="260">
        <v>0.33333333333333331</v>
      </c>
      <c r="E25" s="260">
        <v>0.83333333333333337</v>
      </c>
      <c r="F25" s="278">
        <v>426000</v>
      </c>
      <c r="G25" s="264">
        <f t="shared" si="1"/>
        <v>426000</v>
      </c>
      <c r="H25" s="282">
        <f t="shared" si="0"/>
        <v>0</v>
      </c>
      <c r="I25" s="284">
        <v>987264715701</v>
      </c>
      <c r="J25" s="284">
        <v>926160446048783</v>
      </c>
      <c r="K25" s="267" t="s">
        <v>172</v>
      </c>
      <c r="L25" s="266" t="s">
        <v>27</v>
      </c>
      <c r="M25" s="267" t="s">
        <v>21</v>
      </c>
    </row>
    <row r="26" spans="1:13" x14ac:dyDescent="0.35">
      <c r="A26" s="259">
        <v>22</v>
      </c>
      <c r="B26" s="263">
        <v>46178</v>
      </c>
      <c r="C26" s="263">
        <v>46178</v>
      </c>
      <c r="D26" s="260">
        <v>0.33333333333333331</v>
      </c>
      <c r="E26" s="260">
        <v>0.83333333333333337</v>
      </c>
      <c r="F26" s="278">
        <v>1346000</v>
      </c>
      <c r="G26" s="264">
        <f t="shared" si="1"/>
        <v>1346000</v>
      </c>
      <c r="H26" s="282">
        <f t="shared" si="0"/>
        <v>0</v>
      </c>
      <c r="I26" s="284">
        <v>987264715701</v>
      </c>
      <c r="J26" s="284">
        <v>926160446048783</v>
      </c>
      <c r="K26" s="267" t="s">
        <v>24</v>
      </c>
      <c r="L26" s="266" t="s">
        <v>27</v>
      </c>
      <c r="M26" s="267" t="s">
        <v>13</v>
      </c>
    </row>
    <row r="27" spans="1:13" x14ac:dyDescent="0.35">
      <c r="A27" s="259">
        <v>23</v>
      </c>
      <c r="B27" s="263">
        <v>46178</v>
      </c>
      <c r="C27" s="263">
        <v>46179</v>
      </c>
      <c r="D27" s="260">
        <v>0.83333333333333337</v>
      </c>
      <c r="E27" s="260">
        <v>0.33333333333333331</v>
      </c>
      <c r="F27" s="278">
        <v>135000</v>
      </c>
      <c r="G27" s="264">
        <f t="shared" si="1"/>
        <v>135000</v>
      </c>
      <c r="H27" s="282">
        <f t="shared" si="0"/>
        <v>0</v>
      </c>
      <c r="I27" s="284">
        <v>987264715701</v>
      </c>
      <c r="J27" s="284">
        <v>926160446048783</v>
      </c>
      <c r="K27" s="267" t="s">
        <v>166</v>
      </c>
      <c r="L27" s="266" t="s">
        <v>27</v>
      </c>
      <c r="M27" s="267" t="s">
        <v>21</v>
      </c>
    </row>
    <row r="28" spans="1:13" x14ac:dyDescent="0.35">
      <c r="A28" s="259">
        <v>24</v>
      </c>
      <c r="B28" s="263">
        <v>46178</v>
      </c>
      <c r="C28" s="263">
        <v>46179</v>
      </c>
      <c r="D28" s="260">
        <v>0.83333333333333337</v>
      </c>
      <c r="E28" s="260">
        <v>0.33333333333333331</v>
      </c>
      <c r="F28" s="278">
        <v>533000</v>
      </c>
      <c r="G28" s="264">
        <f t="shared" si="1"/>
        <v>533000</v>
      </c>
      <c r="H28" s="282">
        <f t="shared" si="0"/>
        <v>0</v>
      </c>
      <c r="I28" s="284">
        <v>987264715701</v>
      </c>
      <c r="J28" s="284">
        <v>926160446048783</v>
      </c>
      <c r="K28" s="267" t="s">
        <v>15</v>
      </c>
      <c r="L28" s="266" t="s">
        <v>27</v>
      </c>
      <c r="M28" s="267" t="s">
        <v>13</v>
      </c>
    </row>
    <row r="29" spans="1:13" x14ac:dyDescent="0.35">
      <c r="A29" s="169">
        <v>25</v>
      </c>
      <c r="B29" s="270">
        <v>46178</v>
      </c>
      <c r="C29" s="270">
        <v>46178</v>
      </c>
      <c r="D29" s="261">
        <v>0.20833333333333334</v>
      </c>
      <c r="E29" s="261">
        <v>0.91666666666666663</v>
      </c>
      <c r="F29" s="277">
        <v>84000</v>
      </c>
      <c r="G29" s="271">
        <f t="shared" si="1"/>
        <v>84000</v>
      </c>
      <c r="H29" s="273"/>
      <c r="I29" s="298">
        <v>987264966421</v>
      </c>
      <c r="J29" s="298">
        <v>926182453900709</v>
      </c>
      <c r="K29" s="273" t="s">
        <v>157</v>
      </c>
      <c r="L29" s="169" t="s">
        <v>27</v>
      </c>
      <c r="M29" s="274" t="s">
        <v>158</v>
      </c>
    </row>
    <row r="30" spans="1:13" x14ac:dyDescent="0.35">
      <c r="A30" s="259">
        <v>26</v>
      </c>
      <c r="B30" s="263">
        <v>46179</v>
      </c>
      <c r="C30" s="263">
        <v>46179</v>
      </c>
      <c r="D30" s="260">
        <v>0.33333333333333331</v>
      </c>
      <c r="E30" s="260">
        <v>0.83333333333333337</v>
      </c>
      <c r="F30" s="278">
        <v>400000</v>
      </c>
      <c r="G30" s="264">
        <f t="shared" si="1"/>
        <v>400000</v>
      </c>
      <c r="H30" s="282">
        <f t="shared" si="0"/>
        <v>0</v>
      </c>
      <c r="I30" s="284">
        <v>987264715716</v>
      </c>
      <c r="J30" s="284">
        <v>926160446048419</v>
      </c>
      <c r="K30" s="267" t="s">
        <v>19</v>
      </c>
      <c r="L30" s="266" t="s">
        <v>27</v>
      </c>
      <c r="M30" s="267" t="s">
        <v>21</v>
      </c>
    </row>
    <row r="31" spans="1:13" x14ac:dyDescent="0.35">
      <c r="A31" s="259">
        <v>27</v>
      </c>
      <c r="B31" s="263">
        <v>46179</v>
      </c>
      <c r="C31" s="263">
        <v>46179</v>
      </c>
      <c r="D31" s="260">
        <v>0.33333333333333331</v>
      </c>
      <c r="E31" s="260">
        <v>0.83333333333333337</v>
      </c>
      <c r="F31" s="278">
        <v>1214000</v>
      </c>
      <c r="G31" s="264">
        <f t="shared" si="1"/>
        <v>1214000</v>
      </c>
      <c r="H31" s="282">
        <f t="shared" si="0"/>
        <v>0</v>
      </c>
      <c r="I31" s="284">
        <v>987264715716</v>
      </c>
      <c r="J31" s="284">
        <v>926160446048419</v>
      </c>
      <c r="K31" s="267" t="s">
        <v>20</v>
      </c>
      <c r="L31" s="266" t="s">
        <v>27</v>
      </c>
      <c r="M31" s="267" t="s">
        <v>13</v>
      </c>
    </row>
    <row r="32" spans="1:13" x14ac:dyDescent="0.35">
      <c r="A32" s="259">
        <v>28</v>
      </c>
      <c r="B32" s="263">
        <v>46179</v>
      </c>
      <c r="C32" s="263">
        <v>46180</v>
      </c>
      <c r="D32" s="260">
        <v>0.83333333333333337</v>
      </c>
      <c r="E32" s="260">
        <v>0.33333333333333331</v>
      </c>
      <c r="F32" s="278">
        <v>257000</v>
      </c>
      <c r="G32" s="264">
        <f t="shared" si="1"/>
        <v>257000</v>
      </c>
      <c r="H32" s="282">
        <f t="shared" si="0"/>
        <v>0</v>
      </c>
      <c r="I32" s="284">
        <v>987264715716</v>
      </c>
      <c r="J32" s="284">
        <v>926160446048419</v>
      </c>
      <c r="K32" s="267" t="s">
        <v>172</v>
      </c>
      <c r="L32" s="266" t="s">
        <v>27</v>
      </c>
      <c r="M32" s="267" t="s">
        <v>21</v>
      </c>
    </row>
    <row r="33" spans="1:13" x14ac:dyDescent="0.35">
      <c r="A33" s="259">
        <v>29</v>
      </c>
      <c r="B33" s="263">
        <v>46179</v>
      </c>
      <c r="C33" s="263">
        <v>46180</v>
      </c>
      <c r="D33" s="260">
        <v>0.83333333333333337</v>
      </c>
      <c r="E33" s="260">
        <v>0.33333333333333331</v>
      </c>
      <c r="F33" s="278">
        <v>505000</v>
      </c>
      <c r="G33" s="264">
        <f t="shared" si="1"/>
        <v>505000</v>
      </c>
      <c r="H33" s="282">
        <f t="shared" si="0"/>
        <v>0</v>
      </c>
      <c r="I33" s="284">
        <v>987264715716</v>
      </c>
      <c r="J33" s="284">
        <v>926160446048419</v>
      </c>
      <c r="K33" s="267" t="s">
        <v>24</v>
      </c>
      <c r="L33" s="266" t="s">
        <v>27</v>
      </c>
      <c r="M33" s="267" t="s">
        <v>13</v>
      </c>
    </row>
    <row r="34" spans="1:13" x14ac:dyDescent="0.35">
      <c r="A34" s="169">
        <v>30</v>
      </c>
      <c r="B34" s="270">
        <v>46148</v>
      </c>
      <c r="C34" s="270">
        <v>46179</v>
      </c>
      <c r="D34" s="261">
        <v>0.20833333333333334</v>
      </c>
      <c r="E34" s="261">
        <v>0.91666666666666663</v>
      </c>
      <c r="F34" s="279">
        <v>75000</v>
      </c>
      <c r="G34" s="283">
        <f t="shared" si="1"/>
        <v>75000</v>
      </c>
      <c r="H34" s="274"/>
      <c r="I34" s="298">
        <v>987264966430</v>
      </c>
      <c r="J34" s="298">
        <v>926182453908842</v>
      </c>
      <c r="K34" s="273" t="s">
        <v>157</v>
      </c>
      <c r="L34" s="169" t="s">
        <v>27</v>
      </c>
      <c r="M34" s="274" t="s">
        <v>158</v>
      </c>
    </row>
    <row r="35" spans="1:13" x14ac:dyDescent="0.35">
      <c r="A35" s="259">
        <v>31</v>
      </c>
      <c r="B35" s="263">
        <v>46180</v>
      </c>
      <c r="C35" s="263">
        <v>46180</v>
      </c>
      <c r="D35" s="260">
        <v>0.33333333333333331</v>
      </c>
      <c r="E35" s="260">
        <v>0.83333333333333337</v>
      </c>
      <c r="F35" s="278">
        <v>755000</v>
      </c>
      <c r="G35" s="264">
        <f t="shared" si="1"/>
        <v>755000</v>
      </c>
      <c r="H35" s="282">
        <f t="shared" si="0"/>
        <v>0</v>
      </c>
      <c r="I35" s="284">
        <v>987264715740</v>
      </c>
      <c r="J35" s="284">
        <v>926161446331159</v>
      </c>
      <c r="K35" s="267" t="s">
        <v>20</v>
      </c>
      <c r="L35" s="266" t="s">
        <v>27</v>
      </c>
      <c r="M35" s="267" t="s">
        <v>21</v>
      </c>
    </row>
    <row r="36" spans="1:13" x14ac:dyDescent="0.35">
      <c r="A36" s="259">
        <v>32</v>
      </c>
      <c r="B36" s="263">
        <v>46180</v>
      </c>
      <c r="C36" s="263">
        <v>46180</v>
      </c>
      <c r="D36" s="260">
        <v>0.33333333333333331</v>
      </c>
      <c r="E36" s="260">
        <v>0.83333333333333337</v>
      </c>
      <c r="F36" s="278">
        <v>1631000</v>
      </c>
      <c r="G36" s="264">
        <f t="shared" si="1"/>
        <v>1631000</v>
      </c>
      <c r="H36" s="282">
        <f t="shared" si="0"/>
        <v>0</v>
      </c>
      <c r="I36" s="284">
        <v>987264715740</v>
      </c>
      <c r="J36" s="284">
        <v>926161446331159</v>
      </c>
      <c r="K36" s="267" t="s">
        <v>19</v>
      </c>
      <c r="L36" s="266" t="s">
        <v>27</v>
      </c>
      <c r="M36" s="267" t="s">
        <v>13</v>
      </c>
    </row>
    <row r="37" spans="1:13" x14ac:dyDescent="0.35">
      <c r="A37" s="259">
        <v>33</v>
      </c>
      <c r="B37" s="263">
        <v>46180</v>
      </c>
      <c r="C37" s="263">
        <v>46181</v>
      </c>
      <c r="D37" s="260">
        <v>0.83333333333333337</v>
      </c>
      <c r="E37" s="260">
        <v>0.33333333333333331</v>
      </c>
      <c r="F37" s="278">
        <v>99000</v>
      </c>
      <c r="G37" s="264">
        <f t="shared" si="1"/>
        <v>99000</v>
      </c>
      <c r="H37" s="282">
        <f t="shared" si="0"/>
        <v>0</v>
      </c>
      <c r="I37" s="284">
        <v>987264715740</v>
      </c>
      <c r="J37" s="284">
        <v>926161446331159</v>
      </c>
      <c r="K37" s="267" t="s">
        <v>172</v>
      </c>
      <c r="L37" s="266" t="s">
        <v>27</v>
      </c>
      <c r="M37" s="267" t="s">
        <v>21</v>
      </c>
    </row>
    <row r="38" spans="1:13" x14ac:dyDescent="0.35">
      <c r="A38" s="259">
        <v>34</v>
      </c>
      <c r="B38" s="263">
        <v>46180</v>
      </c>
      <c r="C38" s="263">
        <v>46181</v>
      </c>
      <c r="D38" s="260">
        <v>0.83333333333333337</v>
      </c>
      <c r="E38" s="260">
        <v>0.33333333333333331</v>
      </c>
      <c r="F38" s="278">
        <v>629000</v>
      </c>
      <c r="G38" s="264">
        <f t="shared" si="1"/>
        <v>629000</v>
      </c>
      <c r="H38" s="282">
        <f t="shared" si="0"/>
        <v>0</v>
      </c>
      <c r="I38" s="284">
        <v>987264715740</v>
      </c>
      <c r="J38" s="284">
        <v>926161446331159</v>
      </c>
      <c r="K38" s="267" t="s">
        <v>24</v>
      </c>
      <c r="L38" s="266" t="s">
        <v>27</v>
      </c>
      <c r="M38" s="267" t="s">
        <v>13</v>
      </c>
    </row>
    <row r="39" spans="1:13" x14ac:dyDescent="0.35">
      <c r="A39" s="169">
        <v>35</v>
      </c>
      <c r="B39" s="270">
        <v>46180</v>
      </c>
      <c r="C39" s="270">
        <v>46180</v>
      </c>
      <c r="D39" s="261">
        <v>0.20833333333333334</v>
      </c>
      <c r="E39" s="261">
        <v>0.91666666666666663</v>
      </c>
      <c r="F39" s="279">
        <v>55000</v>
      </c>
      <c r="G39" s="271">
        <f t="shared" si="1"/>
        <v>55000</v>
      </c>
      <c r="H39" s="274"/>
      <c r="I39" s="298">
        <v>987264966437</v>
      </c>
      <c r="J39" s="298">
        <v>926182453908277</v>
      </c>
      <c r="K39" s="274" t="s">
        <v>163</v>
      </c>
      <c r="L39" s="169" t="s">
        <v>27</v>
      </c>
      <c r="M39" s="274" t="s">
        <v>158</v>
      </c>
    </row>
    <row r="40" spans="1:13" x14ac:dyDescent="0.35">
      <c r="A40" s="259">
        <v>36</v>
      </c>
      <c r="B40" s="263">
        <v>46181</v>
      </c>
      <c r="C40" s="263">
        <v>46181</v>
      </c>
      <c r="D40" s="260">
        <v>0.33333333333333331</v>
      </c>
      <c r="E40" s="260">
        <v>0.83333333333333337</v>
      </c>
      <c r="F40" s="278">
        <v>614000</v>
      </c>
      <c r="G40" s="264">
        <f t="shared" si="1"/>
        <v>614000</v>
      </c>
      <c r="H40" s="282">
        <f t="shared" si="0"/>
        <v>0</v>
      </c>
      <c r="I40" s="284">
        <v>987264740862</v>
      </c>
      <c r="J40" s="284">
        <v>926161446736855</v>
      </c>
      <c r="K40" s="267" t="s">
        <v>166</v>
      </c>
      <c r="L40" s="266" t="s">
        <v>27</v>
      </c>
      <c r="M40" s="267" t="s">
        <v>21</v>
      </c>
    </row>
    <row r="41" spans="1:13" x14ac:dyDescent="0.35">
      <c r="A41" s="259">
        <v>37</v>
      </c>
      <c r="B41" s="263">
        <v>46181</v>
      </c>
      <c r="C41" s="263">
        <v>46181</v>
      </c>
      <c r="D41" s="260">
        <v>0.33333333333333331</v>
      </c>
      <c r="E41" s="260">
        <v>0.83333333333333337</v>
      </c>
      <c r="F41" s="278">
        <v>1294000</v>
      </c>
      <c r="G41" s="264">
        <f t="shared" si="1"/>
        <v>1294000</v>
      </c>
      <c r="H41" s="282">
        <f t="shared" si="0"/>
        <v>0</v>
      </c>
      <c r="I41" s="284">
        <v>987264740862</v>
      </c>
      <c r="J41" s="284">
        <v>926161446736855</v>
      </c>
      <c r="K41" s="267" t="s">
        <v>15</v>
      </c>
      <c r="L41" s="266" t="s">
        <v>27</v>
      </c>
      <c r="M41" s="267" t="s">
        <v>13</v>
      </c>
    </row>
    <row r="42" spans="1:13" x14ac:dyDescent="0.35">
      <c r="A42" s="259">
        <v>38</v>
      </c>
      <c r="B42" s="263">
        <v>46181</v>
      </c>
      <c r="C42" s="263">
        <v>46182</v>
      </c>
      <c r="D42" s="260">
        <v>0.83333333333333337</v>
      </c>
      <c r="E42" s="260">
        <v>0.33333333333333331</v>
      </c>
      <c r="F42" s="278">
        <v>314000</v>
      </c>
      <c r="G42" s="264">
        <f t="shared" si="1"/>
        <v>314000</v>
      </c>
      <c r="H42" s="282">
        <f t="shared" si="0"/>
        <v>0</v>
      </c>
      <c r="I42" s="284">
        <v>987264740862</v>
      </c>
      <c r="J42" s="284">
        <v>926161446736855</v>
      </c>
      <c r="K42" s="267" t="s">
        <v>19</v>
      </c>
      <c r="L42" s="266" t="s">
        <v>27</v>
      </c>
      <c r="M42" s="267" t="s">
        <v>21</v>
      </c>
    </row>
    <row r="43" spans="1:13" x14ac:dyDescent="0.35">
      <c r="A43" s="259">
        <v>39</v>
      </c>
      <c r="B43" s="263">
        <v>46181</v>
      </c>
      <c r="C43" s="263">
        <v>46182</v>
      </c>
      <c r="D43" s="260">
        <v>0.83333333333333337</v>
      </c>
      <c r="E43" s="260">
        <v>0.33333333333333331</v>
      </c>
      <c r="F43" s="278">
        <v>476000</v>
      </c>
      <c r="G43" s="264">
        <f t="shared" si="1"/>
        <v>476000</v>
      </c>
      <c r="H43" s="282">
        <f t="shared" si="0"/>
        <v>0</v>
      </c>
      <c r="I43" s="284">
        <v>987264740862</v>
      </c>
      <c r="J43" s="284">
        <v>926161446736855</v>
      </c>
      <c r="K43" s="267" t="s">
        <v>20</v>
      </c>
      <c r="L43" s="266" t="s">
        <v>27</v>
      </c>
      <c r="M43" s="267" t="s">
        <v>96</v>
      </c>
    </row>
    <row r="44" spans="1:13" x14ac:dyDescent="0.35">
      <c r="A44" s="169">
        <v>40</v>
      </c>
      <c r="B44" s="270">
        <v>46181</v>
      </c>
      <c r="C44" s="270">
        <v>46181</v>
      </c>
      <c r="D44" s="261">
        <v>0.20833333333333334</v>
      </c>
      <c r="E44" s="261">
        <v>0.91666666666666663</v>
      </c>
      <c r="F44" s="279">
        <v>74000</v>
      </c>
      <c r="G44" s="271">
        <f t="shared" si="1"/>
        <v>74000</v>
      </c>
      <c r="H44" s="274"/>
      <c r="I44" s="298">
        <v>987264966458</v>
      </c>
      <c r="J44" s="298">
        <v>926182453907749</v>
      </c>
      <c r="K44" s="274" t="s">
        <v>163</v>
      </c>
      <c r="L44" s="169" t="s">
        <v>27</v>
      </c>
      <c r="M44" s="274" t="s">
        <v>158</v>
      </c>
    </row>
    <row r="45" spans="1:13" x14ac:dyDescent="0.35">
      <c r="A45" s="259">
        <v>41</v>
      </c>
      <c r="B45" s="263">
        <v>46182</v>
      </c>
      <c r="C45" s="263">
        <v>46182</v>
      </c>
      <c r="D45" s="260">
        <v>0.33333333333333331</v>
      </c>
      <c r="E45" s="260">
        <v>0.83333333333333337</v>
      </c>
      <c r="F45" s="278">
        <v>271000</v>
      </c>
      <c r="G45" s="264">
        <f t="shared" si="1"/>
        <v>271000</v>
      </c>
      <c r="H45" s="282">
        <f t="shared" si="0"/>
        <v>0</v>
      </c>
      <c r="I45" s="284">
        <v>987264752444</v>
      </c>
      <c r="J45" s="284">
        <v>926163447205661</v>
      </c>
      <c r="K45" s="267" t="s">
        <v>166</v>
      </c>
      <c r="L45" s="266" t="s">
        <v>27</v>
      </c>
      <c r="M45" s="267" t="s">
        <v>21</v>
      </c>
    </row>
    <row r="46" spans="1:13" x14ac:dyDescent="0.35">
      <c r="A46" s="259">
        <v>42</v>
      </c>
      <c r="B46" s="263">
        <v>46182</v>
      </c>
      <c r="C46" s="263">
        <v>46182</v>
      </c>
      <c r="D46" s="260">
        <v>0.33333333333333331</v>
      </c>
      <c r="E46" s="260">
        <v>0.83333333333333337</v>
      </c>
      <c r="F46" s="278">
        <v>1240000</v>
      </c>
      <c r="G46" s="264">
        <f t="shared" si="1"/>
        <v>1240000</v>
      </c>
      <c r="H46" s="282">
        <f t="shared" si="0"/>
        <v>0</v>
      </c>
      <c r="I46" s="284">
        <v>987264752444</v>
      </c>
      <c r="J46" s="284">
        <v>926163447205661</v>
      </c>
      <c r="K46" s="267" t="s">
        <v>15</v>
      </c>
      <c r="L46" s="266" t="s">
        <v>27</v>
      </c>
      <c r="M46" s="267" t="s">
        <v>13</v>
      </c>
    </row>
    <row r="47" spans="1:13" x14ac:dyDescent="0.35">
      <c r="A47" s="259">
        <v>43</v>
      </c>
      <c r="B47" s="263">
        <v>46182</v>
      </c>
      <c r="C47" s="263">
        <v>46183</v>
      </c>
      <c r="D47" s="260">
        <v>0.83333333333333337</v>
      </c>
      <c r="E47" s="260">
        <v>0.33333333333333331</v>
      </c>
      <c r="F47" s="278">
        <v>238000</v>
      </c>
      <c r="G47" s="264">
        <f t="shared" si="1"/>
        <v>238000</v>
      </c>
      <c r="H47" s="282">
        <f t="shared" si="0"/>
        <v>0</v>
      </c>
      <c r="I47" s="284">
        <v>987264752444</v>
      </c>
      <c r="J47" s="284">
        <v>926163447205661</v>
      </c>
      <c r="K47" s="267" t="s">
        <v>19</v>
      </c>
      <c r="L47" s="266" t="s">
        <v>27</v>
      </c>
      <c r="M47" s="267" t="s">
        <v>21</v>
      </c>
    </row>
    <row r="48" spans="1:13" x14ac:dyDescent="0.35">
      <c r="A48" s="259">
        <v>44</v>
      </c>
      <c r="B48" s="263">
        <v>46182</v>
      </c>
      <c r="C48" s="263">
        <v>46183</v>
      </c>
      <c r="D48" s="260">
        <v>0.83333333333333337</v>
      </c>
      <c r="E48" s="260">
        <v>0.33333333333333331</v>
      </c>
      <c r="F48" s="278">
        <v>520000</v>
      </c>
      <c r="G48" s="264">
        <f t="shared" si="1"/>
        <v>520000</v>
      </c>
      <c r="H48" s="282">
        <f t="shared" si="0"/>
        <v>0</v>
      </c>
      <c r="I48" s="284">
        <v>987264752444</v>
      </c>
      <c r="J48" s="284">
        <v>926163447205661</v>
      </c>
      <c r="K48" s="267" t="s">
        <v>20</v>
      </c>
      <c r="L48" s="266" t="s">
        <v>27</v>
      </c>
      <c r="M48" s="267" t="s">
        <v>13</v>
      </c>
    </row>
    <row r="49" spans="1:13" x14ac:dyDescent="0.35">
      <c r="A49" s="169">
        <v>45</v>
      </c>
      <c r="B49" s="270">
        <v>46182</v>
      </c>
      <c r="C49" s="270">
        <v>46182</v>
      </c>
      <c r="D49" s="261">
        <v>0.20833333333333334</v>
      </c>
      <c r="E49" s="261">
        <v>0.91666666666666663</v>
      </c>
      <c r="F49" s="279">
        <v>61000</v>
      </c>
      <c r="G49" s="271">
        <f t="shared" si="1"/>
        <v>61000</v>
      </c>
      <c r="H49" s="274"/>
      <c r="I49" s="298">
        <v>987264966464</v>
      </c>
      <c r="J49" s="298">
        <v>926182453916592</v>
      </c>
      <c r="K49" s="274" t="s">
        <v>163</v>
      </c>
      <c r="L49" s="169" t="s">
        <v>27</v>
      </c>
      <c r="M49" s="274" t="s">
        <v>158</v>
      </c>
    </row>
    <row r="50" spans="1:13" x14ac:dyDescent="0.35">
      <c r="A50" s="259">
        <v>46</v>
      </c>
      <c r="B50" s="263">
        <v>46183</v>
      </c>
      <c r="C50" s="263">
        <v>46183</v>
      </c>
      <c r="D50" s="260">
        <v>0.33333333333333331</v>
      </c>
      <c r="E50" s="260">
        <v>0.83333333333333337</v>
      </c>
      <c r="F50" s="278">
        <v>315000</v>
      </c>
      <c r="G50" s="264">
        <f t="shared" si="1"/>
        <v>315000</v>
      </c>
      <c r="H50" s="282">
        <f t="shared" si="0"/>
        <v>0</v>
      </c>
      <c r="I50" s="284">
        <v>987264752462</v>
      </c>
      <c r="J50" s="284">
        <v>926164447448216</v>
      </c>
      <c r="K50" s="267" t="s">
        <v>172</v>
      </c>
      <c r="L50" s="266" t="s">
        <v>27</v>
      </c>
      <c r="M50" s="267" t="s">
        <v>21</v>
      </c>
    </row>
    <row r="51" spans="1:13" x14ac:dyDescent="0.35">
      <c r="A51" s="259">
        <v>47</v>
      </c>
      <c r="B51" s="263">
        <v>46183</v>
      </c>
      <c r="C51" s="263">
        <v>46183</v>
      </c>
      <c r="D51" s="260">
        <v>0.33333333333333331</v>
      </c>
      <c r="E51" s="260">
        <v>0.83333333333333337</v>
      </c>
      <c r="F51" s="278">
        <v>1332000</v>
      </c>
      <c r="G51" s="264">
        <f t="shared" si="1"/>
        <v>1332000</v>
      </c>
      <c r="H51" s="282">
        <f t="shared" si="0"/>
        <v>0</v>
      </c>
      <c r="I51" s="284">
        <v>987264752462</v>
      </c>
      <c r="J51" s="284">
        <v>926164447448216</v>
      </c>
      <c r="K51" s="267" t="s">
        <v>24</v>
      </c>
      <c r="L51" s="266" t="s">
        <v>27</v>
      </c>
      <c r="M51" s="267" t="s">
        <v>13</v>
      </c>
    </row>
    <row r="52" spans="1:13" x14ac:dyDescent="0.35">
      <c r="A52" s="259">
        <v>48</v>
      </c>
      <c r="B52" s="263">
        <v>46183</v>
      </c>
      <c r="C52" s="263">
        <v>46184</v>
      </c>
      <c r="D52" s="260">
        <v>0.83333333333333337</v>
      </c>
      <c r="E52" s="260">
        <v>0.33333333333333331</v>
      </c>
      <c r="F52" s="278">
        <v>146000</v>
      </c>
      <c r="G52" s="264">
        <f t="shared" si="1"/>
        <v>146000</v>
      </c>
      <c r="H52" s="282">
        <f t="shared" si="0"/>
        <v>0</v>
      </c>
      <c r="I52" s="284">
        <v>987264752462</v>
      </c>
      <c r="J52" s="284">
        <v>926164447448216</v>
      </c>
      <c r="K52" s="267" t="s">
        <v>166</v>
      </c>
      <c r="L52" s="266" t="s">
        <v>27</v>
      </c>
      <c r="M52" s="267" t="s">
        <v>21</v>
      </c>
    </row>
    <row r="53" spans="1:13" x14ac:dyDescent="0.35">
      <c r="A53" s="259">
        <v>49</v>
      </c>
      <c r="B53" s="263">
        <v>46183</v>
      </c>
      <c r="C53" s="263">
        <v>46184</v>
      </c>
      <c r="D53" s="260">
        <v>0.83333333333333337</v>
      </c>
      <c r="E53" s="260">
        <v>0.33333333333333331</v>
      </c>
      <c r="F53" s="278">
        <v>510000</v>
      </c>
      <c r="G53" s="264">
        <f t="shared" si="1"/>
        <v>510000</v>
      </c>
      <c r="H53" s="282">
        <f t="shared" si="0"/>
        <v>0</v>
      </c>
      <c r="I53" s="284">
        <v>987264752462</v>
      </c>
      <c r="J53" s="284">
        <v>926164447448216</v>
      </c>
      <c r="K53" s="267" t="s">
        <v>15</v>
      </c>
      <c r="L53" s="266" t="s">
        <v>27</v>
      </c>
      <c r="M53" s="267" t="s">
        <v>13</v>
      </c>
    </row>
    <row r="54" spans="1:13" x14ac:dyDescent="0.35">
      <c r="A54" s="169">
        <v>50</v>
      </c>
      <c r="B54" s="270">
        <v>46183</v>
      </c>
      <c r="C54" s="270">
        <v>46183</v>
      </c>
      <c r="D54" s="261">
        <v>0.20833333333333334</v>
      </c>
      <c r="E54" s="261">
        <v>0.91666666666666663</v>
      </c>
      <c r="F54" s="279">
        <v>54000</v>
      </c>
      <c r="G54" s="271">
        <f t="shared" si="1"/>
        <v>54000</v>
      </c>
      <c r="H54" s="274"/>
      <c r="I54" s="298">
        <v>987264966469</v>
      </c>
      <c r="J54" s="298">
        <v>926182453912947</v>
      </c>
      <c r="K54" s="274" t="s">
        <v>163</v>
      </c>
      <c r="L54" s="169" t="s">
        <v>27</v>
      </c>
      <c r="M54" s="274" t="s">
        <v>158</v>
      </c>
    </row>
    <row r="55" spans="1:13" x14ac:dyDescent="0.35">
      <c r="A55" s="259">
        <v>51</v>
      </c>
      <c r="B55" s="263">
        <v>46184</v>
      </c>
      <c r="C55" s="263">
        <v>46184</v>
      </c>
      <c r="D55" s="260">
        <v>0.33333333333333331</v>
      </c>
      <c r="E55" s="260">
        <v>0.83333333333333337</v>
      </c>
      <c r="F55" s="278">
        <v>415000</v>
      </c>
      <c r="G55" s="264">
        <f t="shared" si="1"/>
        <v>415000</v>
      </c>
      <c r="H55" s="282">
        <f t="shared" si="0"/>
        <v>0</v>
      </c>
      <c r="I55" s="284">
        <v>987264789599</v>
      </c>
      <c r="J55" s="284">
        <v>926167448306356</v>
      </c>
      <c r="K55" s="267" t="s">
        <v>172</v>
      </c>
      <c r="L55" s="266" t="s">
        <v>27</v>
      </c>
      <c r="M55" s="267" t="s">
        <v>21</v>
      </c>
    </row>
    <row r="56" spans="1:13" x14ac:dyDescent="0.35">
      <c r="A56" s="259">
        <v>52</v>
      </c>
      <c r="B56" s="263">
        <v>46184</v>
      </c>
      <c r="C56" s="263">
        <v>46184</v>
      </c>
      <c r="D56" s="260">
        <v>0.33333333333333331</v>
      </c>
      <c r="E56" s="260">
        <v>0.83333333333333337</v>
      </c>
      <c r="F56" s="278">
        <v>1194000</v>
      </c>
      <c r="G56" s="264">
        <f t="shared" si="1"/>
        <v>1194000</v>
      </c>
      <c r="H56" s="282">
        <f t="shared" si="0"/>
        <v>0</v>
      </c>
      <c r="I56" s="284">
        <v>987264789599</v>
      </c>
      <c r="J56" s="284">
        <v>926167448306356</v>
      </c>
      <c r="K56" s="267" t="s">
        <v>24</v>
      </c>
      <c r="L56" s="266" t="s">
        <v>27</v>
      </c>
      <c r="M56" s="267" t="s">
        <v>13</v>
      </c>
    </row>
    <row r="57" spans="1:13" x14ac:dyDescent="0.35">
      <c r="A57" s="259">
        <v>53</v>
      </c>
      <c r="B57" s="263">
        <v>46184</v>
      </c>
      <c r="C57" s="263">
        <v>46185</v>
      </c>
      <c r="D57" s="260">
        <v>0.83333333333333337</v>
      </c>
      <c r="E57" s="260">
        <v>0.33333333333333331</v>
      </c>
      <c r="F57" s="278">
        <v>156000</v>
      </c>
      <c r="G57" s="264">
        <f t="shared" si="1"/>
        <v>156000</v>
      </c>
      <c r="H57" s="282">
        <f t="shared" si="0"/>
        <v>0</v>
      </c>
      <c r="I57" s="284">
        <v>987264789599</v>
      </c>
      <c r="J57" s="284">
        <v>926167448306356</v>
      </c>
      <c r="K57" s="267" t="s">
        <v>166</v>
      </c>
      <c r="L57" s="266" t="s">
        <v>27</v>
      </c>
      <c r="M57" s="267" t="s">
        <v>21</v>
      </c>
    </row>
    <row r="58" spans="1:13" x14ac:dyDescent="0.35">
      <c r="A58" s="259">
        <v>54</v>
      </c>
      <c r="B58" s="263">
        <v>46184</v>
      </c>
      <c r="C58" s="263">
        <v>46185</v>
      </c>
      <c r="D58" s="260">
        <v>0.83333333333333337</v>
      </c>
      <c r="E58" s="260">
        <v>0.33333333333333331</v>
      </c>
      <c r="F58" s="278">
        <v>533000</v>
      </c>
      <c r="G58" s="264">
        <f t="shared" si="1"/>
        <v>533000</v>
      </c>
      <c r="H58" s="282">
        <f t="shared" si="0"/>
        <v>0</v>
      </c>
      <c r="I58" s="284">
        <v>987264789599</v>
      </c>
      <c r="J58" s="284">
        <v>926167448306356</v>
      </c>
      <c r="K58" s="267" t="s">
        <v>15</v>
      </c>
      <c r="L58" s="266" t="s">
        <v>27</v>
      </c>
      <c r="M58" s="267" t="s">
        <v>13</v>
      </c>
    </row>
    <row r="59" spans="1:13" x14ac:dyDescent="0.35">
      <c r="A59" s="169">
        <v>55</v>
      </c>
      <c r="B59" s="270">
        <v>46184</v>
      </c>
      <c r="C59" s="270">
        <v>46184</v>
      </c>
      <c r="D59" s="261">
        <v>0.20833333333333334</v>
      </c>
      <c r="E59" s="261">
        <v>0.91666666666666663</v>
      </c>
      <c r="F59" s="279">
        <v>74000</v>
      </c>
      <c r="G59" s="271">
        <f t="shared" si="1"/>
        <v>74000</v>
      </c>
      <c r="H59" s="274"/>
      <c r="I59" s="298">
        <v>987264966473</v>
      </c>
      <c r="J59" s="298">
        <v>926182453912069</v>
      </c>
      <c r="K59" s="274" t="s">
        <v>163</v>
      </c>
      <c r="L59" s="169" t="s">
        <v>27</v>
      </c>
      <c r="M59" s="274" t="s">
        <v>158</v>
      </c>
    </row>
    <row r="60" spans="1:13" x14ac:dyDescent="0.35">
      <c r="A60" s="259">
        <v>56</v>
      </c>
      <c r="B60" s="263">
        <v>46185</v>
      </c>
      <c r="C60" s="263">
        <v>46185</v>
      </c>
      <c r="D60" s="260">
        <v>0.33333333333333331</v>
      </c>
      <c r="E60" s="260">
        <v>0.83333333333333337</v>
      </c>
      <c r="F60" s="278">
        <v>499000</v>
      </c>
      <c r="G60" s="264">
        <f t="shared" si="1"/>
        <v>499000</v>
      </c>
      <c r="H60" s="282">
        <f t="shared" si="0"/>
        <v>0</v>
      </c>
      <c r="I60" s="284">
        <v>987264804146</v>
      </c>
      <c r="J60" s="284">
        <v>926169448957653</v>
      </c>
      <c r="K60" s="267" t="s">
        <v>19</v>
      </c>
      <c r="L60" s="266" t="s">
        <v>27</v>
      </c>
      <c r="M60" s="267" t="s">
        <v>21</v>
      </c>
    </row>
    <row r="61" spans="1:13" x14ac:dyDescent="0.35">
      <c r="A61" s="259">
        <v>57</v>
      </c>
      <c r="B61" s="263">
        <v>46185</v>
      </c>
      <c r="C61" s="263">
        <v>46185</v>
      </c>
      <c r="D61" s="260">
        <v>0.33333333333333331</v>
      </c>
      <c r="E61" s="260">
        <v>0.83333333333333337</v>
      </c>
      <c r="F61" s="278">
        <v>1379000</v>
      </c>
      <c r="G61" s="264">
        <f t="shared" si="1"/>
        <v>1379000</v>
      </c>
      <c r="H61" s="282">
        <f t="shared" si="0"/>
        <v>0</v>
      </c>
      <c r="I61" s="284">
        <v>987264804146</v>
      </c>
      <c r="J61" s="284">
        <v>926169448957653</v>
      </c>
      <c r="K61" s="267" t="s">
        <v>20</v>
      </c>
      <c r="L61" s="266" t="s">
        <v>27</v>
      </c>
      <c r="M61" s="267" t="s">
        <v>13</v>
      </c>
    </row>
    <row r="62" spans="1:13" x14ac:dyDescent="0.35">
      <c r="A62" s="259">
        <v>58</v>
      </c>
      <c r="B62" s="263">
        <v>46185</v>
      </c>
      <c r="C62" s="263">
        <v>46186</v>
      </c>
      <c r="D62" s="260">
        <v>0.83333333333333337</v>
      </c>
      <c r="E62" s="260">
        <v>0.33333333333333331</v>
      </c>
      <c r="F62" s="278">
        <v>85000</v>
      </c>
      <c r="G62" s="264">
        <f t="shared" si="1"/>
        <v>85000</v>
      </c>
      <c r="H62" s="282">
        <f t="shared" si="0"/>
        <v>0</v>
      </c>
      <c r="I62" s="284">
        <v>987264804146</v>
      </c>
      <c r="J62" s="284">
        <v>926169448957653</v>
      </c>
      <c r="K62" s="267" t="s">
        <v>154</v>
      </c>
      <c r="L62" s="266" t="s">
        <v>27</v>
      </c>
      <c r="M62" s="267" t="s">
        <v>21</v>
      </c>
    </row>
    <row r="63" spans="1:13" x14ac:dyDescent="0.35">
      <c r="A63" s="259">
        <v>59</v>
      </c>
      <c r="B63" s="263">
        <v>46185</v>
      </c>
      <c r="C63" s="263">
        <v>46186</v>
      </c>
      <c r="D63" s="260">
        <v>0.83333333333333337</v>
      </c>
      <c r="E63" s="260">
        <v>0.33333333333333331</v>
      </c>
      <c r="F63" s="278">
        <v>501000</v>
      </c>
      <c r="G63" s="264">
        <f t="shared" si="1"/>
        <v>501000</v>
      </c>
      <c r="H63" s="282">
        <f t="shared" si="0"/>
        <v>0</v>
      </c>
      <c r="I63" s="284">
        <v>987264804146</v>
      </c>
      <c r="J63" s="284">
        <v>926169448957653</v>
      </c>
      <c r="K63" s="267" t="s">
        <v>24</v>
      </c>
      <c r="L63" s="266" t="s">
        <v>27</v>
      </c>
      <c r="M63" s="267" t="s">
        <v>13</v>
      </c>
    </row>
    <row r="64" spans="1:13" x14ac:dyDescent="0.35">
      <c r="A64" s="169">
        <v>60</v>
      </c>
      <c r="B64" s="270">
        <v>46185</v>
      </c>
      <c r="C64" s="270">
        <v>46185</v>
      </c>
      <c r="D64" s="261">
        <v>0.20833333333333334</v>
      </c>
      <c r="E64" s="261">
        <v>0.91666666666666663</v>
      </c>
      <c r="F64" s="279">
        <v>53000</v>
      </c>
      <c r="G64" s="271">
        <f t="shared" si="1"/>
        <v>53000</v>
      </c>
      <c r="H64" s="274"/>
      <c r="I64" s="298">
        <v>987264966481</v>
      </c>
      <c r="J64" s="298">
        <v>926182453910383</v>
      </c>
      <c r="K64" s="274" t="s">
        <v>163</v>
      </c>
      <c r="L64" s="169" t="s">
        <v>27</v>
      </c>
      <c r="M64" s="274" t="s">
        <v>158</v>
      </c>
    </row>
    <row r="65" spans="1:13" x14ac:dyDescent="0.35">
      <c r="A65" s="259">
        <v>61</v>
      </c>
      <c r="B65" s="263">
        <v>46186</v>
      </c>
      <c r="C65" s="263">
        <v>46186</v>
      </c>
      <c r="D65" s="260">
        <v>0.33333333333333331</v>
      </c>
      <c r="E65" s="260">
        <v>0.83333333333333337</v>
      </c>
      <c r="F65" s="278">
        <v>420000</v>
      </c>
      <c r="G65" s="264">
        <f t="shared" si="1"/>
        <v>420000</v>
      </c>
      <c r="H65" s="282">
        <f t="shared" si="0"/>
        <v>0</v>
      </c>
      <c r="I65" s="284">
        <v>987264789614</v>
      </c>
      <c r="J65" s="284">
        <v>926167448304382</v>
      </c>
      <c r="K65" s="267" t="s">
        <v>19</v>
      </c>
      <c r="L65" s="266" t="s">
        <v>27</v>
      </c>
      <c r="M65" s="267" t="s">
        <v>21</v>
      </c>
    </row>
    <row r="66" spans="1:13" x14ac:dyDescent="0.35">
      <c r="A66" s="259">
        <v>62</v>
      </c>
      <c r="B66" s="263">
        <v>46186</v>
      </c>
      <c r="C66" s="263">
        <v>46186</v>
      </c>
      <c r="D66" s="260">
        <v>0.33333333333333331</v>
      </c>
      <c r="E66" s="260">
        <v>0.83333333333333337</v>
      </c>
      <c r="F66" s="278">
        <v>1421000</v>
      </c>
      <c r="G66" s="264">
        <f t="shared" si="1"/>
        <v>1421000</v>
      </c>
      <c r="H66" s="282">
        <f t="shared" si="0"/>
        <v>0</v>
      </c>
      <c r="I66" s="284">
        <v>987264789614</v>
      </c>
      <c r="J66" s="284">
        <v>926167448304382</v>
      </c>
      <c r="K66" s="267" t="s">
        <v>20</v>
      </c>
      <c r="L66" s="266" t="s">
        <v>27</v>
      </c>
      <c r="M66" s="267" t="s">
        <v>13</v>
      </c>
    </row>
    <row r="67" spans="1:13" x14ac:dyDescent="0.35">
      <c r="A67" s="259">
        <v>63</v>
      </c>
      <c r="B67" s="263">
        <v>46186</v>
      </c>
      <c r="C67" s="263">
        <v>46187</v>
      </c>
      <c r="D67" s="260">
        <v>0.83333333333333337</v>
      </c>
      <c r="E67" s="260">
        <v>0.33333333333333331</v>
      </c>
      <c r="F67" s="278">
        <v>314000</v>
      </c>
      <c r="G67" s="264">
        <f t="shared" si="1"/>
        <v>314000</v>
      </c>
      <c r="H67" s="282">
        <f t="shared" si="0"/>
        <v>0</v>
      </c>
      <c r="I67" s="284">
        <v>987264789614</v>
      </c>
      <c r="J67" s="284">
        <v>926167448304382</v>
      </c>
      <c r="K67" s="267" t="s">
        <v>154</v>
      </c>
      <c r="L67" s="266" t="s">
        <v>27</v>
      </c>
      <c r="M67" s="267" t="s">
        <v>21</v>
      </c>
    </row>
    <row r="68" spans="1:13" x14ac:dyDescent="0.35">
      <c r="A68" s="259">
        <v>64</v>
      </c>
      <c r="B68" s="263">
        <v>46186</v>
      </c>
      <c r="C68" s="263">
        <v>46187</v>
      </c>
      <c r="D68" s="260">
        <v>0.83333333333333337</v>
      </c>
      <c r="E68" s="260">
        <v>0.33333333333333331</v>
      </c>
      <c r="F68" s="278">
        <v>582000</v>
      </c>
      <c r="G68" s="264">
        <f t="shared" si="1"/>
        <v>582000</v>
      </c>
      <c r="H68" s="282">
        <f t="shared" si="0"/>
        <v>0</v>
      </c>
      <c r="I68" s="284">
        <v>987264789614</v>
      </c>
      <c r="J68" s="284">
        <v>926167448304382</v>
      </c>
      <c r="K68" s="267" t="s">
        <v>24</v>
      </c>
      <c r="L68" s="266" t="s">
        <v>27</v>
      </c>
      <c r="M68" s="267" t="s">
        <v>13</v>
      </c>
    </row>
    <row r="69" spans="1:13" x14ac:dyDescent="0.35">
      <c r="A69" s="169">
        <v>65</v>
      </c>
      <c r="B69" s="270">
        <v>46186</v>
      </c>
      <c r="C69" s="270">
        <v>46186</v>
      </c>
      <c r="D69" s="261">
        <v>0.20833333333333334</v>
      </c>
      <c r="E69" s="261">
        <v>0.91666666666666663</v>
      </c>
      <c r="F69" s="279">
        <v>43000</v>
      </c>
      <c r="G69" s="271">
        <f t="shared" ref="G69:G132" si="2">SUM(F69)</f>
        <v>43000</v>
      </c>
      <c r="H69" s="274"/>
      <c r="I69" s="298">
        <v>987264966488</v>
      </c>
      <c r="J69" s="298">
        <v>926182453909723</v>
      </c>
      <c r="K69" s="274" t="s">
        <v>163</v>
      </c>
      <c r="L69" s="169" t="s">
        <v>27</v>
      </c>
      <c r="M69" s="274" t="s">
        <v>158</v>
      </c>
    </row>
    <row r="70" spans="1:13" x14ac:dyDescent="0.35">
      <c r="A70" s="259">
        <v>66</v>
      </c>
      <c r="B70" s="263">
        <v>46187</v>
      </c>
      <c r="C70" s="263">
        <v>46187</v>
      </c>
      <c r="D70" s="260">
        <v>0.33333333333333331</v>
      </c>
      <c r="E70" s="260">
        <v>0.83333333333333337</v>
      </c>
      <c r="F70" s="278">
        <v>877000</v>
      </c>
      <c r="G70" s="264">
        <f t="shared" si="2"/>
        <v>877000</v>
      </c>
      <c r="H70" s="282">
        <f t="shared" si="0"/>
        <v>0</v>
      </c>
      <c r="I70" s="284">
        <v>987264789627</v>
      </c>
      <c r="J70" s="284">
        <v>926167448301352</v>
      </c>
      <c r="K70" s="267" t="s">
        <v>166</v>
      </c>
      <c r="L70" s="266" t="s">
        <v>27</v>
      </c>
      <c r="M70" s="267" t="s">
        <v>21</v>
      </c>
    </row>
    <row r="71" spans="1:13" x14ac:dyDescent="0.35">
      <c r="A71" s="259">
        <v>67</v>
      </c>
      <c r="B71" s="263">
        <v>46187</v>
      </c>
      <c r="C71" s="263">
        <v>46187</v>
      </c>
      <c r="D71" s="260">
        <v>0.33333333333333331</v>
      </c>
      <c r="E71" s="260">
        <v>0.83333333333333337</v>
      </c>
      <c r="F71" s="278">
        <v>1887000</v>
      </c>
      <c r="G71" s="264">
        <f t="shared" si="2"/>
        <v>1887000</v>
      </c>
      <c r="H71" s="282">
        <f t="shared" si="0"/>
        <v>0</v>
      </c>
      <c r="I71" s="284">
        <v>987264789627</v>
      </c>
      <c r="J71" s="284">
        <v>926167448301352</v>
      </c>
      <c r="K71" s="267" t="s">
        <v>15</v>
      </c>
      <c r="L71" s="266" t="s">
        <v>27</v>
      </c>
      <c r="M71" s="267" t="s">
        <v>13</v>
      </c>
    </row>
    <row r="72" spans="1:13" x14ac:dyDescent="0.35">
      <c r="A72" s="259">
        <v>68</v>
      </c>
      <c r="B72" s="263">
        <v>46187</v>
      </c>
      <c r="C72" s="263">
        <v>46188</v>
      </c>
      <c r="D72" s="260">
        <v>0.83333333333333337</v>
      </c>
      <c r="E72" s="260">
        <v>0.33333333333333331</v>
      </c>
      <c r="F72" s="278">
        <v>403000</v>
      </c>
      <c r="G72" s="264">
        <f t="shared" si="2"/>
        <v>403000</v>
      </c>
      <c r="H72" s="282">
        <f t="shared" ref="H72:H98" si="3">F72-G72</f>
        <v>0</v>
      </c>
      <c r="I72" s="284">
        <v>987264789627</v>
      </c>
      <c r="J72" s="284">
        <v>926167448301352</v>
      </c>
      <c r="K72" s="267" t="s">
        <v>19</v>
      </c>
      <c r="L72" s="266" t="s">
        <v>27</v>
      </c>
      <c r="M72" s="267" t="s">
        <v>21</v>
      </c>
    </row>
    <row r="73" spans="1:13" x14ac:dyDescent="0.35">
      <c r="A73" s="259">
        <v>69</v>
      </c>
      <c r="B73" s="263">
        <v>46187</v>
      </c>
      <c r="C73" s="263">
        <v>46188</v>
      </c>
      <c r="D73" s="260">
        <v>0.83333333333333337</v>
      </c>
      <c r="E73" s="260">
        <v>0.33333333333333331</v>
      </c>
      <c r="F73" s="278">
        <v>558000</v>
      </c>
      <c r="G73" s="264">
        <f t="shared" si="2"/>
        <v>558000</v>
      </c>
      <c r="H73" s="282">
        <f t="shared" si="3"/>
        <v>0</v>
      </c>
      <c r="I73" s="284">
        <v>987264789627</v>
      </c>
      <c r="J73" s="284">
        <v>926167448301352</v>
      </c>
      <c r="K73" s="267" t="s">
        <v>20</v>
      </c>
      <c r="L73" s="266" t="s">
        <v>27</v>
      </c>
      <c r="M73" s="267" t="s">
        <v>13</v>
      </c>
    </row>
    <row r="74" spans="1:13" x14ac:dyDescent="0.35">
      <c r="A74" s="169">
        <v>70</v>
      </c>
      <c r="B74" s="270">
        <v>46187</v>
      </c>
      <c r="C74" s="270">
        <v>46187</v>
      </c>
      <c r="D74" s="261">
        <v>0.20833333333333334</v>
      </c>
      <c r="E74" s="261">
        <v>0.91666666666666663</v>
      </c>
      <c r="F74" s="279">
        <v>56000</v>
      </c>
      <c r="G74" s="271">
        <f t="shared" si="2"/>
        <v>56000</v>
      </c>
      <c r="H74" s="274"/>
      <c r="I74" s="298">
        <v>987264966490</v>
      </c>
      <c r="J74" s="298">
        <v>926182453909361</v>
      </c>
      <c r="K74" s="274" t="s">
        <v>163</v>
      </c>
      <c r="L74" s="169" t="s">
        <v>27</v>
      </c>
      <c r="M74" s="274" t="s">
        <v>158</v>
      </c>
    </row>
    <row r="75" spans="1:13" x14ac:dyDescent="0.35">
      <c r="A75" s="259">
        <v>71</v>
      </c>
      <c r="B75" s="263">
        <v>46188</v>
      </c>
      <c r="C75" s="263">
        <v>46188</v>
      </c>
      <c r="D75" s="260">
        <v>0.33333333333333331</v>
      </c>
      <c r="E75" s="260">
        <v>0.83333333333333337</v>
      </c>
      <c r="F75" s="278">
        <v>388000</v>
      </c>
      <c r="G75" s="264">
        <f t="shared" si="2"/>
        <v>388000</v>
      </c>
      <c r="H75" s="282">
        <f t="shared" si="3"/>
        <v>0</v>
      </c>
      <c r="I75" s="284">
        <v>987264804174</v>
      </c>
      <c r="J75" s="284">
        <v>926170448958073</v>
      </c>
      <c r="K75" s="267" t="s">
        <v>166</v>
      </c>
      <c r="L75" s="266" t="s">
        <v>27</v>
      </c>
      <c r="M75" s="267" t="s">
        <v>21</v>
      </c>
    </row>
    <row r="76" spans="1:13" x14ac:dyDescent="0.35">
      <c r="A76" s="259">
        <v>72</v>
      </c>
      <c r="B76" s="263">
        <v>46188</v>
      </c>
      <c r="C76" s="263">
        <v>46188</v>
      </c>
      <c r="D76" s="260">
        <v>0.33333333333333331</v>
      </c>
      <c r="E76" s="260">
        <v>0.83333333333333337</v>
      </c>
      <c r="F76" s="278">
        <v>1350000</v>
      </c>
      <c r="G76" s="264">
        <f t="shared" si="2"/>
        <v>1350000</v>
      </c>
      <c r="H76" s="282">
        <f t="shared" si="3"/>
        <v>0</v>
      </c>
      <c r="I76" s="284">
        <v>987264804174</v>
      </c>
      <c r="J76" s="284">
        <v>926170448958073</v>
      </c>
      <c r="K76" s="267" t="s">
        <v>15</v>
      </c>
      <c r="L76" s="266" t="s">
        <v>27</v>
      </c>
      <c r="M76" s="267" t="s">
        <v>13</v>
      </c>
    </row>
    <row r="77" spans="1:13" x14ac:dyDescent="0.35">
      <c r="A77" s="259">
        <v>73</v>
      </c>
      <c r="B77" s="263">
        <v>46188</v>
      </c>
      <c r="C77" s="263">
        <v>46189</v>
      </c>
      <c r="D77" s="260">
        <v>0.83333333333333337</v>
      </c>
      <c r="E77" s="260">
        <v>0.33333333333333331</v>
      </c>
      <c r="F77" s="278">
        <v>236000</v>
      </c>
      <c r="G77" s="264">
        <f t="shared" si="2"/>
        <v>236000</v>
      </c>
      <c r="H77" s="282">
        <f t="shared" si="3"/>
        <v>0</v>
      </c>
      <c r="I77" s="284">
        <v>987264804174</v>
      </c>
      <c r="J77" s="284">
        <v>926170448958073</v>
      </c>
      <c r="K77" s="267" t="s">
        <v>19</v>
      </c>
      <c r="L77" s="266" t="s">
        <v>27</v>
      </c>
      <c r="M77" s="267" t="s">
        <v>21</v>
      </c>
    </row>
    <row r="78" spans="1:13" x14ac:dyDescent="0.35">
      <c r="A78" s="259">
        <v>74</v>
      </c>
      <c r="B78" s="263">
        <v>46188</v>
      </c>
      <c r="C78" s="263">
        <v>46189</v>
      </c>
      <c r="D78" s="260">
        <v>0.83333333333333337</v>
      </c>
      <c r="E78" s="260">
        <v>0.33333333333333331</v>
      </c>
      <c r="F78" s="278">
        <v>465000</v>
      </c>
      <c r="G78" s="264">
        <f t="shared" si="2"/>
        <v>465000</v>
      </c>
      <c r="H78" s="282">
        <f t="shared" si="3"/>
        <v>0</v>
      </c>
      <c r="I78" s="284">
        <v>987264804174</v>
      </c>
      <c r="J78" s="284">
        <v>926170448958073</v>
      </c>
      <c r="K78" s="267" t="s">
        <v>20</v>
      </c>
      <c r="L78" s="266" t="s">
        <v>27</v>
      </c>
      <c r="M78" s="267" t="s">
        <v>13</v>
      </c>
    </row>
    <row r="79" spans="1:13" x14ac:dyDescent="0.35">
      <c r="A79" s="169">
        <v>75</v>
      </c>
      <c r="B79" s="270">
        <v>46188</v>
      </c>
      <c r="C79" s="270">
        <v>46188</v>
      </c>
      <c r="D79" s="261">
        <v>0.20833333333333334</v>
      </c>
      <c r="E79" s="261">
        <v>0.91666666666666663</v>
      </c>
      <c r="F79" s="279">
        <v>60000</v>
      </c>
      <c r="G79" s="271">
        <f t="shared" si="2"/>
        <v>60000</v>
      </c>
      <c r="H79" s="274"/>
      <c r="I79" s="298">
        <v>987264966495</v>
      </c>
      <c r="J79" s="298">
        <v>926182453926832</v>
      </c>
      <c r="K79" s="274" t="s">
        <v>157</v>
      </c>
      <c r="L79" s="169" t="s">
        <v>27</v>
      </c>
      <c r="M79" s="274" t="s">
        <v>158</v>
      </c>
    </row>
    <row r="80" spans="1:13" x14ac:dyDescent="0.35">
      <c r="A80" s="259">
        <v>76</v>
      </c>
      <c r="B80" s="263">
        <v>46189</v>
      </c>
      <c r="C80" s="263">
        <v>46189</v>
      </c>
      <c r="D80" s="260">
        <v>0.33333333333333331</v>
      </c>
      <c r="E80" s="260">
        <v>0.83333333333333337</v>
      </c>
      <c r="F80" s="278">
        <v>206000</v>
      </c>
      <c r="G80" s="264">
        <f t="shared" si="2"/>
        <v>206000</v>
      </c>
      <c r="H80" s="282">
        <f t="shared" si="3"/>
        <v>0</v>
      </c>
      <c r="I80" s="284">
        <v>987264828932</v>
      </c>
      <c r="J80" s="284">
        <v>926170449373885</v>
      </c>
      <c r="K80" s="267" t="s">
        <v>154</v>
      </c>
      <c r="L80" s="266" t="s">
        <v>27</v>
      </c>
      <c r="M80" s="267" t="s">
        <v>21</v>
      </c>
    </row>
    <row r="81" spans="1:13" x14ac:dyDescent="0.35">
      <c r="A81" s="259">
        <v>77</v>
      </c>
      <c r="B81" s="263">
        <v>46189</v>
      </c>
      <c r="C81" s="263">
        <v>46189</v>
      </c>
      <c r="D81" s="260">
        <v>0.33333333333333331</v>
      </c>
      <c r="E81" s="260">
        <v>0.83333333333333337</v>
      </c>
      <c r="F81" s="278">
        <v>1191000</v>
      </c>
      <c r="G81" s="264">
        <f t="shared" si="2"/>
        <v>1191000</v>
      </c>
      <c r="H81" s="282">
        <f t="shared" si="3"/>
        <v>0</v>
      </c>
      <c r="I81" s="284">
        <v>987264828932</v>
      </c>
      <c r="J81" s="284">
        <v>926170449373885</v>
      </c>
      <c r="K81" s="267" t="s">
        <v>24</v>
      </c>
      <c r="L81" s="266" t="s">
        <v>27</v>
      </c>
      <c r="M81" s="267" t="s">
        <v>13</v>
      </c>
    </row>
    <row r="82" spans="1:13" x14ac:dyDescent="0.35">
      <c r="A82" s="259">
        <v>78</v>
      </c>
      <c r="B82" s="263">
        <v>46189</v>
      </c>
      <c r="C82" s="263">
        <v>46190</v>
      </c>
      <c r="D82" s="260">
        <v>0.83333333333333337</v>
      </c>
      <c r="E82" s="260">
        <v>0.33333333333333331</v>
      </c>
      <c r="F82" s="278">
        <v>173000</v>
      </c>
      <c r="G82" s="264">
        <f t="shared" si="2"/>
        <v>173000</v>
      </c>
      <c r="H82" s="282">
        <f t="shared" si="3"/>
        <v>0</v>
      </c>
      <c r="I82" s="284">
        <v>987264828932</v>
      </c>
      <c r="J82" s="284">
        <v>926170449373885</v>
      </c>
      <c r="K82" s="267" t="s">
        <v>166</v>
      </c>
      <c r="L82" s="266" t="s">
        <v>27</v>
      </c>
      <c r="M82" s="267" t="s">
        <v>21</v>
      </c>
    </row>
    <row r="83" spans="1:13" x14ac:dyDescent="0.35">
      <c r="A83" s="259">
        <v>79</v>
      </c>
      <c r="B83" s="263">
        <v>46189</v>
      </c>
      <c r="C83" s="263">
        <v>46190</v>
      </c>
      <c r="D83" s="260">
        <v>0.83333333333333337</v>
      </c>
      <c r="E83" s="260">
        <v>0.33333333333333331</v>
      </c>
      <c r="F83" s="278">
        <v>657000</v>
      </c>
      <c r="G83" s="264">
        <f t="shared" si="2"/>
        <v>657000</v>
      </c>
      <c r="H83" s="282">
        <f t="shared" si="3"/>
        <v>0</v>
      </c>
      <c r="I83" s="284">
        <v>987264828932</v>
      </c>
      <c r="J83" s="284">
        <v>926170449373885</v>
      </c>
      <c r="K83" s="267" t="s">
        <v>15</v>
      </c>
      <c r="L83" s="266" t="s">
        <v>27</v>
      </c>
      <c r="M83" s="267" t="s">
        <v>13</v>
      </c>
    </row>
    <row r="84" spans="1:13" x14ac:dyDescent="0.35">
      <c r="A84" s="169">
        <v>80</v>
      </c>
      <c r="B84" s="270">
        <v>46189</v>
      </c>
      <c r="C84" s="270">
        <v>46189</v>
      </c>
      <c r="D84" s="261">
        <v>0.20833333333333334</v>
      </c>
      <c r="E84" s="261">
        <v>0.91666666666666663</v>
      </c>
      <c r="F84" s="279">
        <v>45000</v>
      </c>
      <c r="G84" s="271">
        <f t="shared" si="2"/>
        <v>45000</v>
      </c>
      <c r="H84" s="274"/>
      <c r="I84" s="298">
        <v>987264966500</v>
      </c>
      <c r="J84" s="298">
        <v>926182453922493</v>
      </c>
      <c r="K84" s="274" t="s">
        <v>157</v>
      </c>
      <c r="L84" s="169" t="s">
        <v>27</v>
      </c>
      <c r="M84" s="274" t="s">
        <v>158</v>
      </c>
    </row>
    <row r="85" spans="1:13" x14ac:dyDescent="0.35">
      <c r="A85" s="259">
        <v>81</v>
      </c>
      <c r="B85" s="263">
        <v>46190</v>
      </c>
      <c r="C85" s="263">
        <v>46190</v>
      </c>
      <c r="D85" s="260">
        <v>0.33333333333333331</v>
      </c>
      <c r="E85" s="260">
        <v>0.83333333333333337</v>
      </c>
      <c r="F85" s="278">
        <v>423000</v>
      </c>
      <c r="G85" s="264">
        <f t="shared" si="2"/>
        <v>423000</v>
      </c>
      <c r="H85" s="282">
        <f t="shared" si="3"/>
        <v>0</v>
      </c>
      <c r="I85" s="284">
        <v>987264828943</v>
      </c>
      <c r="J85" s="284">
        <v>926170449745398</v>
      </c>
      <c r="K85" s="267" t="s">
        <v>154</v>
      </c>
      <c r="L85" s="266" t="s">
        <v>27</v>
      </c>
      <c r="M85" s="267" t="s">
        <v>21</v>
      </c>
    </row>
    <row r="86" spans="1:13" x14ac:dyDescent="0.35">
      <c r="A86" s="259">
        <v>82</v>
      </c>
      <c r="B86" s="263">
        <v>46190</v>
      </c>
      <c r="C86" s="263">
        <v>46190</v>
      </c>
      <c r="D86" s="260">
        <v>0.33333333333333331</v>
      </c>
      <c r="E86" s="260">
        <v>0.83333333333333337</v>
      </c>
      <c r="F86" s="278">
        <v>1356000</v>
      </c>
      <c r="G86" s="264">
        <f t="shared" si="2"/>
        <v>1356000</v>
      </c>
      <c r="H86" s="282">
        <f t="shared" si="3"/>
        <v>0</v>
      </c>
      <c r="I86" s="284">
        <v>987264828943</v>
      </c>
      <c r="J86" s="284">
        <v>926170449745398</v>
      </c>
      <c r="K86" s="267" t="s">
        <v>24</v>
      </c>
      <c r="L86" s="266" t="s">
        <v>27</v>
      </c>
      <c r="M86" s="267" t="s">
        <v>13</v>
      </c>
    </row>
    <row r="87" spans="1:13" x14ac:dyDescent="0.35">
      <c r="A87" s="259">
        <v>83</v>
      </c>
      <c r="B87" s="263">
        <v>46190</v>
      </c>
      <c r="C87" s="263">
        <v>46191</v>
      </c>
      <c r="D87" s="260">
        <v>0.83333333333333337</v>
      </c>
      <c r="E87" s="260">
        <v>0.33333333333333331</v>
      </c>
      <c r="F87" s="278">
        <v>258000</v>
      </c>
      <c r="G87" s="264">
        <f t="shared" si="2"/>
        <v>258000</v>
      </c>
      <c r="H87" s="282">
        <f t="shared" si="3"/>
        <v>0</v>
      </c>
      <c r="I87" s="284">
        <v>987264828943</v>
      </c>
      <c r="J87" s="284">
        <v>926170449745398</v>
      </c>
      <c r="K87" s="267" t="s">
        <v>166</v>
      </c>
      <c r="L87" s="266" t="s">
        <v>27</v>
      </c>
      <c r="M87" s="267" t="s">
        <v>21</v>
      </c>
    </row>
    <row r="88" spans="1:13" x14ac:dyDescent="0.35">
      <c r="A88" s="259">
        <v>84</v>
      </c>
      <c r="B88" s="263">
        <v>46190</v>
      </c>
      <c r="C88" s="263">
        <v>46191</v>
      </c>
      <c r="D88" s="260">
        <v>0.83333333333333337</v>
      </c>
      <c r="E88" s="260">
        <v>0.33333333333333331</v>
      </c>
      <c r="F88" s="278">
        <v>360000</v>
      </c>
      <c r="G88" s="264">
        <f t="shared" si="2"/>
        <v>360000</v>
      </c>
      <c r="H88" s="282">
        <f t="shared" si="3"/>
        <v>0</v>
      </c>
      <c r="I88" s="284">
        <v>987264828943</v>
      </c>
      <c r="J88" s="284">
        <v>926170449745398</v>
      </c>
      <c r="K88" s="267" t="s">
        <v>15</v>
      </c>
      <c r="L88" s="266" t="s">
        <v>27</v>
      </c>
      <c r="M88" s="267" t="s">
        <v>13</v>
      </c>
    </row>
    <row r="89" spans="1:13" x14ac:dyDescent="0.35">
      <c r="A89" s="169">
        <v>85</v>
      </c>
      <c r="B89" s="270">
        <v>46190</v>
      </c>
      <c r="C89" s="270">
        <v>46190</v>
      </c>
      <c r="D89" s="261">
        <v>0.20833333333333334</v>
      </c>
      <c r="E89" s="261">
        <v>0.91666666666666663</v>
      </c>
      <c r="F89" s="279">
        <v>66000</v>
      </c>
      <c r="G89" s="271">
        <f t="shared" si="2"/>
        <v>66000</v>
      </c>
      <c r="H89" s="274"/>
      <c r="I89" s="298">
        <v>987264966503</v>
      </c>
      <c r="J89" s="298">
        <v>926182453919182</v>
      </c>
      <c r="K89" s="274" t="s">
        <v>157</v>
      </c>
      <c r="L89" s="169" t="s">
        <v>27</v>
      </c>
      <c r="M89" s="274" t="s">
        <v>158</v>
      </c>
    </row>
    <row r="90" spans="1:13" x14ac:dyDescent="0.35">
      <c r="A90" s="259">
        <v>86</v>
      </c>
      <c r="B90" s="263">
        <v>46191</v>
      </c>
      <c r="C90" s="263">
        <v>46191</v>
      </c>
      <c r="D90" s="260">
        <v>0.33333333333333331</v>
      </c>
      <c r="E90" s="260">
        <v>0.83333333333333337</v>
      </c>
      <c r="F90" s="278">
        <v>356000</v>
      </c>
      <c r="G90" s="264">
        <f t="shared" si="2"/>
        <v>356000</v>
      </c>
      <c r="H90" s="282">
        <f t="shared" si="3"/>
        <v>0</v>
      </c>
      <c r="I90" s="284">
        <v>987264851537</v>
      </c>
      <c r="J90" s="284">
        <v>926173450168764</v>
      </c>
      <c r="K90" s="267" t="s">
        <v>19</v>
      </c>
      <c r="L90" s="266" t="s">
        <v>27</v>
      </c>
      <c r="M90" s="267" t="s">
        <v>21</v>
      </c>
    </row>
    <row r="91" spans="1:13" x14ac:dyDescent="0.35">
      <c r="A91" s="259">
        <v>87</v>
      </c>
      <c r="B91" s="263">
        <v>46191</v>
      </c>
      <c r="C91" s="263">
        <v>46191</v>
      </c>
      <c r="D91" s="260">
        <v>0.33333333333333331</v>
      </c>
      <c r="E91" s="260">
        <v>0.83333333333333337</v>
      </c>
      <c r="F91" s="278">
        <v>1309000</v>
      </c>
      <c r="G91" s="264">
        <f t="shared" si="2"/>
        <v>1309000</v>
      </c>
      <c r="H91" s="282">
        <f t="shared" si="3"/>
        <v>0</v>
      </c>
      <c r="I91" s="284">
        <v>987264851537</v>
      </c>
      <c r="J91" s="284">
        <v>926173450168764</v>
      </c>
      <c r="K91" s="267" t="s">
        <v>20</v>
      </c>
      <c r="L91" s="266" t="s">
        <v>27</v>
      </c>
      <c r="M91" s="267" t="s">
        <v>13</v>
      </c>
    </row>
    <row r="92" spans="1:13" x14ac:dyDescent="0.35">
      <c r="A92" s="259">
        <v>88</v>
      </c>
      <c r="B92" s="263">
        <v>46191</v>
      </c>
      <c r="C92" s="263">
        <v>46192</v>
      </c>
      <c r="D92" s="260">
        <v>0.83333333333333337</v>
      </c>
      <c r="E92" s="260">
        <v>0.33333333333333331</v>
      </c>
      <c r="F92" s="278">
        <v>184000</v>
      </c>
      <c r="G92" s="264">
        <f t="shared" si="2"/>
        <v>184000</v>
      </c>
      <c r="H92" s="282">
        <f t="shared" si="3"/>
        <v>0</v>
      </c>
      <c r="I92" s="284">
        <v>987264851537</v>
      </c>
      <c r="J92" s="284">
        <v>926173450168764</v>
      </c>
      <c r="K92" s="267" t="s">
        <v>154</v>
      </c>
      <c r="L92" s="266" t="s">
        <v>27</v>
      </c>
      <c r="M92" s="267" t="s">
        <v>21</v>
      </c>
    </row>
    <row r="93" spans="1:13" x14ac:dyDescent="0.35">
      <c r="A93" s="259">
        <v>89</v>
      </c>
      <c r="B93" s="263">
        <v>46191</v>
      </c>
      <c r="C93" s="263">
        <v>46192</v>
      </c>
      <c r="D93" s="260">
        <v>0.83333333333333337</v>
      </c>
      <c r="E93" s="260">
        <v>0.33333333333333331</v>
      </c>
      <c r="F93" s="278">
        <v>526000</v>
      </c>
      <c r="G93" s="264">
        <f t="shared" si="2"/>
        <v>526000</v>
      </c>
      <c r="H93" s="282">
        <f t="shared" si="3"/>
        <v>0</v>
      </c>
      <c r="I93" s="284">
        <v>987264851537</v>
      </c>
      <c r="J93" s="284">
        <v>926173450168764</v>
      </c>
      <c r="K93" s="267" t="s">
        <v>24</v>
      </c>
      <c r="L93" s="266" t="s">
        <v>27</v>
      </c>
      <c r="M93" s="267" t="s">
        <v>13</v>
      </c>
    </row>
    <row r="94" spans="1:13" x14ac:dyDescent="0.35">
      <c r="A94" s="169">
        <v>90</v>
      </c>
      <c r="B94" s="270">
        <v>46191</v>
      </c>
      <c r="C94" s="270">
        <v>46191</v>
      </c>
      <c r="D94" s="261">
        <v>0.20833333333333334</v>
      </c>
      <c r="E94" s="261">
        <v>0.91666666666666663</v>
      </c>
      <c r="F94" s="279">
        <v>57000</v>
      </c>
      <c r="G94" s="271">
        <f t="shared" si="2"/>
        <v>57000</v>
      </c>
      <c r="H94" s="274"/>
      <c r="I94" s="298">
        <v>987264966505</v>
      </c>
      <c r="J94" s="298">
        <v>926182453918198</v>
      </c>
      <c r="K94" s="274" t="s">
        <v>157</v>
      </c>
      <c r="L94" s="169" t="s">
        <v>27</v>
      </c>
      <c r="M94" s="274" t="s">
        <v>158</v>
      </c>
    </row>
    <row r="95" spans="1:13" x14ac:dyDescent="0.35">
      <c r="A95" s="259">
        <v>91</v>
      </c>
      <c r="B95" s="263">
        <v>46192</v>
      </c>
      <c r="C95" s="263">
        <v>46192</v>
      </c>
      <c r="D95" s="260">
        <v>0.33333333333333331</v>
      </c>
      <c r="E95" s="260">
        <v>0.83333333333333337</v>
      </c>
      <c r="F95" s="278">
        <v>576000</v>
      </c>
      <c r="G95" s="264">
        <f t="shared" si="2"/>
        <v>576000</v>
      </c>
      <c r="H95" s="282">
        <f t="shared" si="3"/>
        <v>0</v>
      </c>
      <c r="I95" s="284">
        <v>987264851555</v>
      </c>
      <c r="J95" s="284">
        <v>926173450168974</v>
      </c>
      <c r="K95" s="267" t="s">
        <v>19</v>
      </c>
      <c r="L95" s="266" t="s">
        <v>27</v>
      </c>
      <c r="M95" s="267" t="s">
        <v>21</v>
      </c>
    </row>
    <row r="96" spans="1:13" x14ac:dyDescent="0.35">
      <c r="A96" s="259">
        <v>92</v>
      </c>
      <c r="B96" s="263">
        <v>46192</v>
      </c>
      <c r="C96" s="263">
        <v>46192</v>
      </c>
      <c r="D96" s="260">
        <v>0.33333333333333331</v>
      </c>
      <c r="E96" s="260">
        <v>0.83333333333333337</v>
      </c>
      <c r="F96" s="278">
        <v>1506000</v>
      </c>
      <c r="G96" s="264">
        <f t="shared" si="2"/>
        <v>1506000</v>
      </c>
      <c r="H96" s="282">
        <f t="shared" si="3"/>
        <v>0</v>
      </c>
      <c r="I96" s="284">
        <v>987264851555</v>
      </c>
      <c r="J96" s="284">
        <v>926173450168974</v>
      </c>
      <c r="K96" s="267" t="s">
        <v>20</v>
      </c>
      <c r="L96" s="266" t="s">
        <v>27</v>
      </c>
      <c r="M96" s="267" t="s">
        <v>13</v>
      </c>
    </row>
    <row r="97" spans="1:13" x14ac:dyDescent="0.35">
      <c r="A97" s="259">
        <v>93</v>
      </c>
      <c r="B97" s="263">
        <v>46192</v>
      </c>
      <c r="C97" s="263">
        <v>46193</v>
      </c>
      <c r="D97" s="260">
        <v>0.83333333333333337</v>
      </c>
      <c r="E97" s="260">
        <v>0.33333333333333331</v>
      </c>
      <c r="F97" s="278">
        <v>207000</v>
      </c>
      <c r="G97" s="264">
        <f t="shared" si="2"/>
        <v>207000</v>
      </c>
      <c r="H97" s="282">
        <f t="shared" si="3"/>
        <v>0</v>
      </c>
      <c r="I97" s="284">
        <v>987264851555</v>
      </c>
      <c r="J97" s="284">
        <v>926173450168974</v>
      </c>
      <c r="K97" s="267" t="s">
        <v>154</v>
      </c>
      <c r="L97" s="266" t="s">
        <v>27</v>
      </c>
      <c r="M97" s="267" t="s">
        <v>21</v>
      </c>
    </row>
    <row r="98" spans="1:13" x14ac:dyDescent="0.35">
      <c r="A98" s="259">
        <v>94</v>
      </c>
      <c r="B98" s="263">
        <v>46192</v>
      </c>
      <c r="C98" s="263">
        <v>46193</v>
      </c>
      <c r="D98" s="260">
        <v>0.83333333333333337</v>
      </c>
      <c r="E98" s="260">
        <v>0.33333333333333331</v>
      </c>
      <c r="F98" s="278">
        <v>619000</v>
      </c>
      <c r="G98" s="264">
        <f t="shared" si="2"/>
        <v>619000</v>
      </c>
      <c r="H98" s="282">
        <f t="shared" si="3"/>
        <v>0</v>
      </c>
      <c r="I98" s="284">
        <v>987264851555</v>
      </c>
      <c r="J98" s="284">
        <v>926173450168974</v>
      </c>
      <c r="K98" s="267" t="s">
        <v>24</v>
      </c>
      <c r="L98" s="266" t="s">
        <v>27</v>
      </c>
      <c r="M98" s="267" t="s">
        <v>13</v>
      </c>
    </row>
    <row r="99" spans="1:13" x14ac:dyDescent="0.35">
      <c r="A99" s="169">
        <v>95</v>
      </c>
      <c r="B99" s="270">
        <v>46192</v>
      </c>
      <c r="C99" s="270">
        <v>46192</v>
      </c>
      <c r="D99" s="261">
        <v>0.20833333333333334</v>
      </c>
      <c r="E99" s="261">
        <v>0.91666666666666663</v>
      </c>
      <c r="F99" s="279">
        <v>42000</v>
      </c>
      <c r="G99" s="271">
        <f t="shared" si="2"/>
        <v>42000</v>
      </c>
      <c r="H99" s="274"/>
      <c r="I99" s="298">
        <v>987264966511</v>
      </c>
      <c r="J99" s="298">
        <v>926182453917729</v>
      </c>
      <c r="K99" s="274" t="s">
        <v>157</v>
      </c>
      <c r="L99" s="169" t="s">
        <v>27</v>
      </c>
      <c r="M99" s="274" t="s">
        <v>158</v>
      </c>
    </row>
    <row r="100" spans="1:13" x14ac:dyDescent="0.35">
      <c r="A100" s="259">
        <v>96</v>
      </c>
      <c r="B100" s="263">
        <v>46193</v>
      </c>
      <c r="C100" s="263">
        <v>46193</v>
      </c>
      <c r="D100" s="260">
        <v>0.33333333333333331</v>
      </c>
      <c r="E100" s="260">
        <v>0.83333333333333337</v>
      </c>
      <c r="F100" s="278">
        <v>443000</v>
      </c>
      <c r="G100" s="264">
        <f t="shared" si="2"/>
        <v>443000</v>
      </c>
      <c r="H100" s="282">
        <f t="shared" ref="H100:H103" si="4">F100-G100</f>
        <v>0</v>
      </c>
      <c r="I100" s="284">
        <v>987264897288</v>
      </c>
      <c r="J100" s="284">
        <v>926176451641181</v>
      </c>
      <c r="K100" s="267" t="s">
        <v>166</v>
      </c>
      <c r="L100" s="266" t="s">
        <v>27</v>
      </c>
      <c r="M100" s="267" t="s">
        <v>21</v>
      </c>
    </row>
    <row r="101" spans="1:13" x14ac:dyDescent="0.35">
      <c r="A101" s="259">
        <v>97</v>
      </c>
      <c r="B101" s="263">
        <v>46193</v>
      </c>
      <c r="C101" s="263">
        <v>46193</v>
      </c>
      <c r="D101" s="260">
        <v>0.33333333333333331</v>
      </c>
      <c r="E101" s="260">
        <v>0.83333333333333337</v>
      </c>
      <c r="F101" s="278">
        <v>1259000</v>
      </c>
      <c r="G101" s="264">
        <f t="shared" si="2"/>
        <v>1259000</v>
      </c>
      <c r="H101" s="282">
        <f t="shared" si="4"/>
        <v>0</v>
      </c>
      <c r="I101" s="284">
        <v>987264897288</v>
      </c>
      <c r="J101" s="284">
        <v>926176451641181</v>
      </c>
      <c r="K101" s="267" t="s">
        <v>15</v>
      </c>
      <c r="L101" s="266" t="s">
        <v>27</v>
      </c>
      <c r="M101" s="267" t="s">
        <v>13</v>
      </c>
    </row>
    <row r="102" spans="1:13" x14ac:dyDescent="0.35">
      <c r="A102" s="259">
        <v>98</v>
      </c>
      <c r="B102" s="263">
        <v>46193</v>
      </c>
      <c r="C102" s="263">
        <v>46194</v>
      </c>
      <c r="D102" s="260">
        <v>0.83333333333333337</v>
      </c>
      <c r="E102" s="260">
        <v>0.33333333333333331</v>
      </c>
      <c r="F102" s="278">
        <v>137000</v>
      </c>
      <c r="G102" s="264">
        <f t="shared" si="2"/>
        <v>137000</v>
      </c>
      <c r="H102" s="282">
        <f t="shared" si="4"/>
        <v>0</v>
      </c>
      <c r="I102" s="284">
        <v>987264897288</v>
      </c>
      <c r="J102" s="284">
        <v>926176451641181</v>
      </c>
      <c r="K102" s="267" t="s">
        <v>19</v>
      </c>
      <c r="L102" s="266" t="s">
        <v>27</v>
      </c>
      <c r="M102" s="267" t="s">
        <v>21</v>
      </c>
    </row>
    <row r="103" spans="1:13" x14ac:dyDescent="0.35">
      <c r="A103" s="259">
        <v>99</v>
      </c>
      <c r="B103" s="263">
        <v>46193</v>
      </c>
      <c r="C103" s="263">
        <v>46194</v>
      </c>
      <c r="D103" s="260">
        <v>0.83333333333333337</v>
      </c>
      <c r="E103" s="260">
        <v>0.33333333333333331</v>
      </c>
      <c r="F103" s="278">
        <v>539000</v>
      </c>
      <c r="G103" s="264">
        <f t="shared" si="2"/>
        <v>539000</v>
      </c>
      <c r="H103" s="282">
        <f t="shared" si="4"/>
        <v>0</v>
      </c>
      <c r="I103" s="284">
        <v>987264897288</v>
      </c>
      <c r="J103" s="284">
        <v>926176451641181</v>
      </c>
      <c r="K103" s="267" t="s">
        <v>20</v>
      </c>
      <c r="L103" s="266" t="s">
        <v>27</v>
      </c>
      <c r="M103" s="267" t="s">
        <v>13</v>
      </c>
    </row>
    <row r="104" spans="1:13" x14ac:dyDescent="0.35">
      <c r="A104" s="169">
        <v>100</v>
      </c>
      <c r="B104" s="270">
        <v>46193</v>
      </c>
      <c r="C104" s="270">
        <v>46193</v>
      </c>
      <c r="D104" s="261">
        <v>0.20833333333333334</v>
      </c>
      <c r="E104" s="261">
        <v>0.91666666666666663</v>
      </c>
      <c r="F104" s="279">
        <v>46000</v>
      </c>
      <c r="G104" s="271">
        <f t="shared" si="2"/>
        <v>46000</v>
      </c>
      <c r="H104" s="274"/>
      <c r="I104" s="298">
        <v>987264966521</v>
      </c>
      <c r="J104" s="298">
        <v>926182453917101</v>
      </c>
      <c r="K104" s="274" t="s">
        <v>157</v>
      </c>
      <c r="L104" s="169" t="s">
        <v>27</v>
      </c>
      <c r="M104" s="274" t="s">
        <v>158</v>
      </c>
    </row>
    <row r="105" spans="1:13" x14ac:dyDescent="0.35">
      <c r="A105" s="259">
        <v>101</v>
      </c>
      <c r="B105" s="263">
        <v>46194</v>
      </c>
      <c r="C105" s="263">
        <v>46194</v>
      </c>
      <c r="D105" s="260">
        <v>0.33333333333333331</v>
      </c>
      <c r="E105" s="260">
        <v>0.83333333333333337</v>
      </c>
      <c r="F105" s="278">
        <v>623000</v>
      </c>
      <c r="G105" s="264">
        <f t="shared" si="2"/>
        <v>623000</v>
      </c>
      <c r="H105" s="267"/>
      <c r="I105" s="284">
        <v>987264867949</v>
      </c>
      <c r="J105" s="284">
        <v>926174450710773</v>
      </c>
      <c r="K105" s="267" t="s">
        <v>166</v>
      </c>
      <c r="L105" s="266" t="s">
        <v>27</v>
      </c>
      <c r="M105" s="267" t="s">
        <v>21</v>
      </c>
    </row>
    <row r="106" spans="1:13" x14ac:dyDescent="0.35">
      <c r="A106" s="259">
        <v>102</v>
      </c>
      <c r="B106" s="263">
        <v>46194</v>
      </c>
      <c r="C106" s="263">
        <v>46194</v>
      </c>
      <c r="D106" s="260">
        <v>0.33333333333333331</v>
      </c>
      <c r="E106" s="260">
        <v>0.83333333333333337</v>
      </c>
      <c r="F106" s="278">
        <v>1771000</v>
      </c>
      <c r="G106" s="264">
        <f t="shared" si="2"/>
        <v>1771000</v>
      </c>
      <c r="H106" s="267"/>
      <c r="I106" s="284">
        <v>987264867949</v>
      </c>
      <c r="J106" s="284">
        <v>926174450710773</v>
      </c>
      <c r="K106" s="267" t="s">
        <v>15</v>
      </c>
      <c r="L106" s="266" t="s">
        <v>27</v>
      </c>
      <c r="M106" s="267" t="s">
        <v>13</v>
      </c>
    </row>
    <row r="107" spans="1:13" x14ac:dyDescent="0.35">
      <c r="A107" s="259">
        <v>103</v>
      </c>
      <c r="B107" s="263">
        <v>46194</v>
      </c>
      <c r="C107" s="263">
        <v>46195</v>
      </c>
      <c r="D107" s="260">
        <v>0.83333333333333337</v>
      </c>
      <c r="E107" s="260">
        <v>0.33333333333333331</v>
      </c>
      <c r="F107" s="278">
        <v>235000</v>
      </c>
      <c r="G107" s="264">
        <f t="shared" si="2"/>
        <v>235000</v>
      </c>
      <c r="H107" s="267"/>
      <c r="I107" s="284">
        <v>987264867949</v>
      </c>
      <c r="J107" s="284">
        <v>926174450710773</v>
      </c>
      <c r="K107" s="267" t="s">
        <v>19</v>
      </c>
      <c r="L107" s="266" t="s">
        <v>27</v>
      </c>
      <c r="M107" s="267" t="s">
        <v>21</v>
      </c>
    </row>
    <row r="108" spans="1:13" x14ac:dyDescent="0.35">
      <c r="A108" s="259">
        <v>104</v>
      </c>
      <c r="B108" s="263">
        <v>46194</v>
      </c>
      <c r="C108" s="263">
        <v>46195</v>
      </c>
      <c r="D108" s="260">
        <v>0.83333333333333337</v>
      </c>
      <c r="E108" s="260">
        <v>0.33333333333333331</v>
      </c>
      <c r="F108" s="278">
        <v>573000</v>
      </c>
      <c r="G108" s="264">
        <f t="shared" si="2"/>
        <v>573000</v>
      </c>
      <c r="H108" s="267"/>
      <c r="I108" s="284">
        <v>987264867949</v>
      </c>
      <c r="J108" s="284">
        <v>926174450710773</v>
      </c>
      <c r="K108" s="267" t="s">
        <v>20</v>
      </c>
      <c r="L108" s="266" t="s">
        <v>27</v>
      </c>
      <c r="M108" s="267" t="s">
        <v>13</v>
      </c>
    </row>
    <row r="109" spans="1:13" x14ac:dyDescent="0.35">
      <c r="A109" s="169">
        <v>105</v>
      </c>
      <c r="B109" s="270">
        <v>46194</v>
      </c>
      <c r="C109" s="270">
        <v>46194</v>
      </c>
      <c r="D109" s="261">
        <v>0.20833333333333334</v>
      </c>
      <c r="E109" s="261">
        <v>0.91666666666666663</v>
      </c>
      <c r="F109" s="279">
        <v>82000</v>
      </c>
      <c r="G109" s="271">
        <f t="shared" si="2"/>
        <v>82000</v>
      </c>
      <c r="H109" s="274"/>
      <c r="I109" s="298">
        <v>987264966522</v>
      </c>
      <c r="J109" s="298">
        <v>926182453936678</v>
      </c>
      <c r="K109" s="274" t="s">
        <v>163</v>
      </c>
      <c r="L109" s="169" t="s">
        <v>27</v>
      </c>
      <c r="M109" s="274" t="s">
        <v>158</v>
      </c>
    </row>
    <row r="110" spans="1:13" x14ac:dyDescent="0.35">
      <c r="A110" s="259">
        <v>106</v>
      </c>
      <c r="B110" s="263">
        <v>46195</v>
      </c>
      <c r="C110" s="263">
        <v>46195</v>
      </c>
      <c r="D110" s="260">
        <v>0.33333333333333331</v>
      </c>
      <c r="E110" s="260">
        <v>0.83333333333333337</v>
      </c>
      <c r="F110" s="278">
        <v>481000</v>
      </c>
      <c r="G110" s="264">
        <f t="shared" si="2"/>
        <v>481000</v>
      </c>
      <c r="H110" s="282">
        <f t="shared" ref="H110:H113" si="5">F110-G110</f>
        <v>0</v>
      </c>
      <c r="I110" s="284">
        <v>987264897300</v>
      </c>
      <c r="J110" s="284">
        <v>926176451641669</v>
      </c>
      <c r="K110" s="267" t="s">
        <v>154</v>
      </c>
      <c r="L110" s="266" t="s">
        <v>27</v>
      </c>
      <c r="M110" s="267" t="s">
        <v>21</v>
      </c>
    </row>
    <row r="111" spans="1:13" x14ac:dyDescent="0.35">
      <c r="A111" s="259">
        <v>107</v>
      </c>
      <c r="B111" s="263">
        <v>46195</v>
      </c>
      <c r="C111" s="263">
        <v>46195</v>
      </c>
      <c r="D111" s="260">
        <v>0.33333333333333331</v>
      </c>
      <c r="E111" s="260">
        <v>0.83333333333333337</v>
      </c>
      <c r="F111" s="278">
        <v>1326000</v>
      </c>
      <c r="G111" s="264">
        <f t="shared" si="2"/>
        <v>1326000</v>
      </c>
      <c r="H111" s="282">
        <f t="shared" si="5"/>
        <v>0</v>
      </c>
      <c r="I111" s="284">
        <v>987264897300</v>
      </c>
      <c r="J111" s="284">
        <v>926176451641669</v>
      </c>
      <c r="K111" s="267" t="s">
        <v>24</v>
      </c>
      <c r="L111" s="266" t="s">
        <v>27</v>
      </c>
      <c r="M111" s="267" t="s">
        <v>13</v>
      </c>
    </row>
    <row r="112" spans="1:13" x14ac:dyDescent="0.35">
      <c r="A112" s="259">
        <v>108</v>
      </c>
      <c r="B112" s="263">
        <v>46195</v>
      </c>
      <c r="C112" s="263">
        <v>46196</v>
      </c>
      <c r="D112" s="260">
        <v>0.83333333333333337</v>
      </c>
      <c r="E112" s="260">
        <v>0.33333333333333331</v>
      </c>
      <c r="F112" s="278">
        <v>167000</v>
      </c>
      <c r="G112" s="264">
        <f t="shared" si="2"/>
        <v>167000</v>
      </c>
      <c r="H112" s="282">
        <f t="shared" si="5"/>
        <v>0</v>
      </c>
      <c r="I112" s="284">
        <v>987264897300</v>
      </c>
      <c r="J112" s="284">
        <v>926176451641669</v>
      </c>
      <c r="K112" s="267" t="s">
        <v>166</v>
      </c>
      <c r="L112" s="266" t="s">
        <v>27</v>
      </c>
      <c r="M112" s="267" t="s">
        <v>21</v>
      </c>
    </row>
    <row r="113" spans="1:13" x14ac:dyDescent="0.35">
      <c r="A113" s="259">
        <v>109</v>
      </c>
      <c r="B113" s="263">
        <v>46195</v>
      </c>
      <c r="C113" s="263">
        <v>46196</v>
      </c>
      <c r="D113" s="260">
        <v>0.83333333333333337</v>
      </c>
      <c r="E113" s="260">
        <v>0.33333333333333331</v>
      </c>
      <c r="F113" s="278">
        <v>517000</v>
      </c>
      <c r="G113" s="264">
        <f t="shared" si="2"/>
        <v>517000</v>
      </c>
      <c r="H113" s="282">
        <f t="shared" si="5"/>
        <v>0</v>
      </c>
      <c r="I113" s="284">
        <v>987264897300</v>
      </c>
      <c r="J113" s="284">
        <v>926176451641669</v>
      </c>
      <c r="K113" s="267" t="s">
        <v>15</v>
      </c>
      <c r="L113" s="266" t="s">
        <v>27</v>
      </c>
      <c r="M113" s="267" t="s">
        <v>13</v>
      </c>
    </row>
    <row r="114" spans="1:13" x14ac:dyDescent="0.35">
      <c r="A114" s="169">
        <v>110</v>
      </c>
      <c r="B114" s="270">
        <v>46195</v>
      </c>
      <c r="C114" s="270">
        <v>46195</v>
      </c>
      <c r="D114" s="261">
        <v>0.20833333333333334</v>
      </c>
      <c r="E114" s="261">
        <v>0.91666666666666663</v>
      </c>
      <c r="F114" s="279">
        <v>62000</v>
      </c>
      <c r="G114" s="271">
        <f t="shared" si="2"/>
        <v>62000</v>
      </c>
      <c r="H114" s="274"/>
      <c r="I114" s="298">
        <v>987264966526</v>
      </c>
      <c r="J114" s="298">
        <v>926182453936194</v>
      </c>
      <c r="K114" s="274" t="s">
        <v>163</v>
      </c>
      <c r="L114" s="169" t="s">
        <v>27</v>
      </c>
      <c r="M114" s="274" t="s">
        <v>158</v>
      </c>
    </row>
    <row r="115" spans="1:13" x14ac:dyDescent="0.35">
      <c r="A115" s="259">
        <v>111</v>
      </c>
      <c r="B115" s="263">
        <v>46196</v>
      </c>
      <c r="C115" s="263">
        <v>46196</v>
      </c>
      <c r="D115" s="260">
        <v>0.33333333333333331</v>
      </c>
      <c r="E115" s="260">
        <v>0.83333333333333337</v>
      </c>
      <c r="F115" s="278">
        <v>394000</v>
      </c>
      <c r="G115" s="264">
        <f t="shared" si="2"/>
        <v>394000</v>
      </c>
      <c r="H115" s="282">
        <f t="shared" ref="H115:H118" si="6">F115-G115</f>
        <v>0</v>
      </c>
      <c r="I115" s="284">
        <v>987264897307</v>
      </c>
      <c r="J115" s="284">
        <v>926176451642476</v>
      </c>
      <c r="K115" s="267" t="s">
        <v>172</v>
      </c>
      <c r="L115" s="266" t="s">
        <v>27</v>
      </c>
      <c r="M115" s="267" t="s">
        <v>21</v>
      </c>
    </row>
    <row r="116" spans="1:13" x14ac:dyDescent="0.35">
      <c r="A116" s="259">
        <v>112</v>
      </c>
      <c r="B116" s="263">
        <v>46196</v>
      </c>
      <c r="C116" s="263">
        <v>46196</v>
      </c>
      <c r="D116" s="260">
        <v>0.33333333333333331</v>
      </c>
      <c r="E116" s="260">
        <v>0.83333333333333337</v>
      </c>
      <c r="F116" s="278">
        <v>1251000</v>
      </c>
      <c r="G116" s="264">
        <f t="shared" si="2"/>
        <v>1251000</v>
      </c>
      <c r="H116" s="282">
        <f t="shared" si="6"/>
        <v>0</v>
      </c>
      <c r="I116" s="284">
        <v>987264897307</v>
      </c>
      <c r="J116" s="284">
        <v>926176451642476</v>
      </c>
      <c r="K116" s="267" t="s">
        <v>24</v>
      </c>
      <c r="L116" s="266" t="s">
        <v>27</v>
      </c>
      <c r="M116" s="267" t="s">
        <v>13</v>
      </c>
    </row>
    <row r="117" spans="1:13" x14ac:dyDescent="0.35">
      <c r="A117" s="259">
        <v>113</v>
      </c>
      <c r="B117" s="263">
        <v>46196</v>
      </c>
      <c r="C117" s="263">
        <v>46197</v>
      </c>
      <c r="D117" s="260">
        <v>0.83333333333333337</v>
      </c>
      <c r="E117" s="260">
        <v>0.33333333333333331</v>
      </c>
      <c r="F117" s="278">
        <v>248000</v>
      </c>
      <c r="G117" s="264">
        <f t="shared" si="2"/>
        <v>248000</v>
      </c>
      <c r="H117" s="282">
        <f t="shared" si="6"/>
        <v>0</v>
      </c>
      <c r="I117" s="284">
        <v>987264897307</v>
      </c>
      <c r="J117" s="284">
        <v>926176451642476</v>
      </c>
      <c r="K117" s="267" t="s">
        <v>166</v>
      </c>
      <c r="L117" s="266" t="s">
        <v>27</v>
      </c>
      <c r="M117" s="267" t="s">
        <v>21</v>
      </c>
    </row>
    <row r="118" spans="1:13" x14ac:dyDescent="0.35">
      <c r="A118" s="259">
        <v>114</v>
      </c>
      <c r="B118" s="263">
        <v>46196</v>
      </c>
      <c r="C118" s="263">
        <v>46197</v>
      </c>
      <c r="D118" s="260">
        <v>0.83333333333333337</v>
      </c>
      <c r="E118" s="260">
        <v>0.33333333333333331</v>
      </c>
      <c r="F118" s="278">
        <v>517000</v>
      </c>
      <c r="G118" s="264">
        <f t="shared" si="2"/>
        <v>517000</v>
      </c>
      <c r="H118" s="282">
        <f t="shared" si="6"/>
        <v>0</v>
      </c>
      <c r="I118" s="284">
        <v>987264897307</v>
      </c>
      <c r="J118" s="284">
        <v>926176451642476</v>
      </c>
      <c r="K118" s="267" t="s">
        <v>15</v>
      </c>
      <c r="L118" s="266" t="s">
        <v>27</v>
      </c>
      <c r="M118" s="267" t="s">
        <v>13</v>
      </c>
    </row>
    <row r="119" spans="1:13" x14ac:dyDescent="0.35">
      <c r="A119" s="169">
        <v>115</v>
      </c>
      <c r="B119" s="270">
        <v>46196</v>
      </c>
      <c r="C119" s="270">
        <v>46196</v>
      </c>
      <c r="D119" s="261">
        <v>0.20833333333333334</v>
      </c>
      <c r="E119" s="261">
        <v>0.91666666666666663</v>
      </c>
      <c r="F119" s="279">
        <v>63000</v>
      </c>
      <c r="G119" s="271">
        <f t="shared" si="2"/>
        <v>63000</v>
      </c>
      <c r="H119" s="274"/>
      <c r="I119" s="298">
        <v>987264966532</v>
      </c>
      <c r="J119" s="298">
        <v>926182453935613</v>
      </c>
      <c r="K119" s="274" t="s">
        <v>163</v>
      </c>
      <c r="L119" s="169" t="s">
        <v>27</v>
      </c>
      <c r="M119" s="274" t="s">
        <v>158</v>
      </c>
    </row>
    <row r="120" spans="1:13" x14ac:dyDescent="0.35">
      <c r="A120" s="259">
        <v>116</v>
      </c>
      <c r="B120" s="263">
        <v>46197</v>
      </c>
      <c r="C120" s="263">
        <v>46197</v>
      </c>
      <c r="D120" s="260">
        <v>0.33333333333333331</v>
      </c>
      <c r="E120" s="260">
        <v>0.83333333333333337</v>
      </c>
      <c r="F120" s="278">
        <v>302000</v>
      </c>
      <c r="G120" s="264">
        <f t="shared" si="2"/>
        <v>302000</v>
      </c>
      <c r="H120" s="282">
        <f t="shared" ref="H120:H123" si="7">F120-G120</f>
        <v>0</v>
      </c>
      <c r="I120" s="284">
        <v>987264913528</v>
      </c>
      <c r="J120" s="284">
        <v>926178452357425</v>
      </c>
      <c r="K120" s="267" t="s">
        <v>19</v>
      </c>
      <c r="L120" s="266" t="s">
        <v>27</v>
      </c>
      <c r="M120" s="267" t="s">
        <v>21</v>
      </c>
    </row>
    <row r="121" spans="1:13" x14ac:dyDescent="0.35">
      <c r="A121" s="259">
        <v>117</v>
      </c>
      <c r="B121" s="263">
        <v>46197</v>
      </c>
      <c r="C121" s="263">
        <v>46197</v>
      </c>
      <c r="D121" s="260">
        <v>0.33333333333333331</v>
      </c>
      <c r="E121" s="260">
        <v>0.83333333333333337</v>
      </c>
      <c r="F121" s="278">
        <v>1257000</v>
      </c>
      <c r="G121" s="264">
        <f t="shared" si="2"/>
        <v>1257000</v>
      </c>
      <c r="H121" s="282">
        <f t="shared" si="7"/>
        <v>0</v>
      </c>
      <c r="I121" s="284">
        <v>987264913528</v>
      </c>
      <c r="J121" s="284">
        <v>926178452357425</v>
      </c>
      <c r="K121" s="267" t="s">
        <v>20</v>
      </c>
      <c r="L121" s="266" t="s">
        <v>27</v>
      </c>
      <c r="M121" s="267" t="s">
        <v>13</v>
      </c>
    </row>
    <row r="122" spans="1:13" x14ac:dyDescent="0.35">
      <c r="A122" s="259">
        <v>118</v>
      </c>
      <c r="B122" s="263">
        <v>46197</v>
      </c>
      <c r="C122" s="263">
        <v>46198</v>
      </c>
      <c r="D122" s="260">
        <v>0.83333333333333337</v>
      </c>
      <c r="E122" s="260">
        <v>0.33333333333333331</v>
      </c>
      <c r="F122" s="278">
        <v>121000</v>
      </c>
      <c r="G122" s="264">
        <f t="shared" si="2"/>
        <v>121000</v>
      </c>
      <c r="H122" s="282">
        <f t="shared" si="7"/>
        <v>0</v>
      </c>
      <c r="I122" s="284">
        <v>987264913528</v>
      </c>
      <c r="J122" s="284">
        <v>926178452357425</v>
      </c>
      <c r="K122" s="267" t="s">
        <v>172</v>
      </c>
      <c r="L122" s="266" t="s">
        <v>27</v>
      </c>
      <c r="M122" s="267" t="s">
        <v>21</v>
      </c>
    </row>
    <row r="123" spans="1:13" x14ac:dyDescent="0.35">
      <c r="A123" s="259">
        <v>119</v>
      </c>
      <c r="B123" s="263">
        <v>46197</v>
      </c>
      <c r="C123" s="263">
        <v>46198</v>
      </c>
      <c r="D123" s="260">
        <v>0.83333333333333337</v>
      </c>
      <c r="E123" s="260">
        <v>0.33333333333333331</v>
      </c>
      <c r="F123" s="278">
        <v>533000</v>
      </c>
      <c r="G123" s="264">
        <f t="shared" si="2"/>
        <v>533000</v>
      </c>
      <c r="H123" s="282">
        <f t="shared" si="7"/>
        <v>0</v>
      </c>
      <c r="I123" s="284">
        <v>987264913528</v>
      </c>
      <c r="J123" s="284">
        <v>926178452357425</v>
      </c>
      <c r="K123" s="267" t="s">
        <v>24</v>
      </c>
      <c r="L123" s="266" t="s">
        <v>27</v>
      </c>
      <c r="M123" s="267" t="s">
        <v>13</v>
      </c>
    </row>
    <row r="124" spans="1:13" x14ac:dyDescent="0.35">
      <c r="A124" s="169">
        <v>120</v>
      </c>
      <c r="B124" s="270">
        <v>46197</v>
      </c>
      <c r="C124" s="270">
        <v>46197</v>
      </c>
      <c r="D124" s="261">
        <v>0.20833333333333334</v>
      </c>
      <c r="E124" s="261">
        <v>0.91666666666666663</v>
      </c>
      <c r="F124" s="279">
        <v>70000</v>
      </c>
      <c r="G124" s="271">
        <f t="shared" si="2"/>
        <v>70000</v>
      </c>
      <c r="H124" s="274"/>
      <c r="I124" s="298">
        <v>987264966548</v>
      </c>
      <c r="J124" s="298">
        <v>926182453929629</v>
      </c>
      <c r="K124" s="274" t="s">
        <v>163</v>
      </c>
      <c r="L124" s="169" t="s">
        <v>27</v>
      </c>
      <c r="M124" s="274" t="s">
        <v>158</v>
      </c>
    </row>
    <row r="125" spans="1:13" x14ac:dyDescent="0.35">
      <c r="A125" s="259">
        <v>121</v>
      </c>
      <c r="B125" s="263">
        <v>46198</v>
      </c>
      <c r="C125" s="263">
        <v>46198</v>
      </c>
      <c r="D125" s="260">
        <v>0.33333333333333331</v>
      </c>
      <c r="E125" s="260">
        <v>0.83333333333333337</v>
      </c>
      <c r="F125" s="278">
        <v>327000</v>
      </c>
      <c r="G125" s="264">
        <f t="shared" si="2"/>
        <v>327000</v>
      </c>
      <c r="H125" s="282">
        <f t="shared" ref="H125:H128" si="8">F125-G125</f>
        <v>0</v>
      </c>
      <c r="I125" s="284">
        <v>987264926871</v>
      </c>
      <c r="J125" s="284">
        <v>926179452573778</v>
      </c>
      <c r="K125" s="267" t="s">
        <v>19</v>
      </c>
      <c r="L125" s="266" t="s">
        <v>27</v>
      </c>
      <c r="M125" s="267" t="s">
        <v>21</v>
      </c>
    </row>
    <row r="126" spans="1:13" x14ac:dyDescent="0.35">
      <c r="A126" s="259">
        <v>122</v>
      </c>
      <c r="B126" s="263">
        <v>46198</v>
      </c>
      <c r="C126" s="263">
        <v>46198</v>
      </c>
      <c r="D126" s="260">
        <v>0.33333333333333331</v>
      </c>
      <c r="E126" s="260">
        <v>0.83333333333333337</v>
      </c>
      <c r="F126" s="278">
        <v>1581000</v>
      </c>
      <c r="G126" s="264">
        <f t="shared" si="2"/>
        <v>1581000</v>
      </c>
      <c r="H126" s="282">
        <f t="shared" si="8"/>
        <v>0</v>
      </c>
      <c r="I126" s="284">
        <v>987264926871</v>
      </c>
      <c r="J126" s="284">
        <v>926179452573778</v>
      </c>
      <c r="K126" s="267" t="s">
        <v>20</v>
      </c>
      <c r="L126" s="266" t="s">
        <v>27</v>
      </c>
      <c r="M126" s="267" t="s">
        <v>13</v>
      </c>
    </row>
    <row r="127" spans="1:13" x14ac:dyDescent="0.35">
      <c r="A127" s="259">
        <v>123</v>
      </c>
      <c r="B127" s="263">
        <v>46198</v>
      </c>
      <c r="C127" s="263">
        <v>46199</v>
      </c>
      <c r="D127" s="260">
        <v>0.83333333333333337</v>
      </c>
      <c r="E127" s="260">
        <v>0.33333333333333331</v>
      </c>
      <c r="F127" s="278">
        <v>224000</v>
      </c>
      <c r="G127" s="264">
        <f t="shared" si="2"/>
        <v>224000</v>
      </c>
      <c r="H127" s="282">
        <f t="shared" si="8"/>
        <v>0</v>
      </c>
      <c r="I127" s="284">
        <v>987264926871</v>
      </c>
      <c r="J127" s="284">
        <v>926179452573778</v>
      </c>
      <c r="K127" s="267" t="s">
        <v>172</v>
      </c>
      <c r="L127" s="266" t="s">
        <v>27</v>
      </c>
      <c r="M127" s="267" t="s">
        <v>21</v>
      </c>
    </row>
    <row r="128" spans="1:13" x14ac:dyDescent="0.35">
      <c r="A128" s="259">
        <v>124</v>
      </c>
      <c r="B128" s="263">
        <v>46198</v>
      </c>
      <c r="C128" s="263">
        <v>46199</v>
      </c>
      <c r="D128" s="260">
        <v>0.83333333333333337</v>
      </c>
      <c r="E128" s="260">
        <v>0.33333333333333331</v>
      </c>
      <c r="F128" s="278">
        <v>501000</v>
      </c>
      <c r="G128" s="264">
        <f t="shared" si="2"/>
        <v>501000</v>
      </c>
      <c r="H128" s="282">
        <f t="shared" si="8"/>
        <v>0</v>
      </c>
      <c r="I128" s="284">
        <v>987264926871</v>
      </c>
      <c r="J128" s="284">
        <v>926179452573778</v>
      </c>
      <c r="K128" s="267" t="s">
        <v>24</v>
      </c>
      <c r="L128" s="266" t="s">
        <v>27</v>
      </c>
      <c r="M128" s="267" t="s">
        <v>13</v>
      </c>
    </row>
    <row r="129" spans="1:13" x14ac:dyDescent="0.35">
      <c r="A129" s="169">
        <v>125</v>
      </c>
      <c r="B129" s="270">
        <v>46198</v>
      </c>
      <c r="C129" s="270">
        <v>46198</v>
      </c>
      <c r="D129" s="261">
        <v>0.20833333333333334</v>
      </c>
      <c r="E129" s="261">
        <v>0.91666666666666663</v>
      </c>
      <c r="F129" s="279">
        <v>64000</v>
      </c>
      <c r="G129" s="271">
        <f t="shared" si="2"/>
        <v>64000</v>
      </c>
      <c r="H129" s="274"/>
      <c r="I129" s="298">
        <v>987264966551</v>
      </c>
      <c r="J129" s="298">
        <v>926182453927432</v>
      </c>
      <c r="K129" s="274" t="s">
        <v>163</v>
      </c>
      <c r="L129" s="169" t="s">
        <v>27</v>
      </c>
      <c r="M129" s="274" t="s">
        <v>158</v>
      </c>
    </row>
    <row r="130" spans="1:13" x14ac:dyDescent="0.35">
      <c r="A130" s="259">
        <v>126</v>
      </c>
      <c r="B130" s="263">
        <v>46199</v>
      </c>
      <c r="C130" s="263">
        <v>46199</v>
      </c>
      <c r="D130" s="260">
        <v>0.33333333333333331</v>
      </c>
      <c r="E130" s="260">
        <v>0.83333333333333337</v>
      </c>
      <c r="F130" s="278">
        <v>407000</v>
      </c>
      <c r="G130" s="264">
        <f t="shared" si="2"/>
        <v>407000</v>
      </c>
      <c r="H130" s="282">
        <f t="shared" ref="H130:H133" si="9">F130-G130</f>
        <v>0</v>
      </c>
      <c r="I130" s="284">
        <v>987264959080</v>
      </c>
      <c r="J130" s="284">
        <v>926181453417580</v>
      </c>
      <c r="K130" s="267" t="s">
        <v>166</v>
      </c>
      <c r="L130" s="266" t="s">
        <v>27</v>
      </c>
      <c r="M130" s="267" t="s">
        <v>21</v>
      </c>
    </row>
    <row r="131" spans="1:13" x14ac:dyDescent="0.35">
      <c r="A131" s="259">
        <v>127</v>
      </c>
      <c r="B131" s="263">
        <v>46199</v>
      </c>
      <c r="C131" s="263">
        <v>46199</v>
      </c>
      <c r="D131" s="260">
        <v>0.33333333333333331</v>
      </c>
      <c r="E131" s="260">
        <v>0.83333333333333337</v>
      </c>
      <c r="F131" s="278">
        <v>1581000</v>
      </c>
      <c r="G131" s="264">
        <f t="shared" si="2"/>
        <v>1581000</v>
      </c>
      <c r="H131" s="282">
        <f t="shared" si="9"/>
        <v>0</v>
      </c>
      <c r="I131" s="284">
        <v>987264959080</v>
      </c>
      <c r="J131" s="284">
        <v>926181453417580</v>
      </c>
      <c r="K131" s="267" t="s">
        <v>15</v>
      </c>
      <c r="L131" s="266" t="s">
        <v>27</v>
      </c>
      <c r="M131" s="267" t="s">
        <v>13</v>
      </c>
    </row>
    <row r="132" spans="1:13" x14ac:dyDescent="0.35">
      <c r="A132" s="259">
        <v>128</v>
      </c>
      <c r="B132" s="263">
        <v>46199</v>
      </c>
      <c r="C132" s="263">
        <v>46200</v>
      </c>
      <c r="D132" s="260">
        <v>0.83333333333333337</v>
      </c>
      <c r="E132" s="260">
        <v>0.33333333333333331</v>
      </c>
      <c r="F132" s="278">
        <v>140000</v>
      </c>
      <c r="G132" s="264">
        <f t="shared" si="2"/>
        <v>140000</v>
      </c>
      <c r="H132" s="282">
        <f t="shared" si="9"/>
        <v>0</v>
      </c>
      <c r="I132" s="284">
        <v>987264959080</v>
      </c>
      <c r="J132" s="284">
        <v>926181453417580</v>
      </c>
      <c r="K132" s="267" t="s">
        <v>19</v>
      </c>
      <c r="L132" s="266" t="s">
        <v>27</v>
      </c>
      <c r="M132" s="267" t="s">
        <v>21</v>
      </c>
    </row>
    <row r="133" spans="1:13" x14ac:dyDescent="0.35">
      <c r="A133" s="259">
        <v>129</v>
      </c>
      <c r="B133" s="263">
        <v>46199</v>
      </c>
      <c r="C133" s="263">
        <v>46200</v>
      </c>
      <c r="D133" s="260">
        <v>0.83333333333333337</v>
      </c>
      <c r="E133" s="260">
        <v>0.33333333333333331</v>
      </c>
      <c r="F133" s="278">
        <v>648000</v>
      </c>
      <c r="G133" s="264">
        <f t="shared" ref="G133:G154" si="10">SUM(F133)</f>
        <v>648000</v>
      </c>
      <c r="H133" s="282">
        <f t="shared" si="9"/>
        <v>0</v>
      </c>
      <c r="I133" s="284">
        <v>987264959080</v>
      </c>
      <c r="J133" s="284">
        <v>926181453417580</v>
      </c>
      <c r="K133" s="267" t="s">
        <v>20</v>
      </c>
      <c r="L133" s="266" t="s">
        <v>27</v>
      </c>
      <c r="M133" s="267" t="s">
        <v>13</v>
      </c>
    </row>
    <row r="134" spans="1:13" x14ac:dyDescent="0.35">
      <c r="A134" s="169">
        <v>130</v>
      </c>
      <c r="B134" s="270">
        <v>46199</v>
      </c>
      <c r="C134" s="270">
        <v>46199</v>
      </c>
      <c r="D134" s="261">
        <v>0.20833333333333334</v>
      </c>
      <c r="E134" s="261">
        <v>0.91666666666666663</v>
      </c>
      <c r="F134" s="279">
        <v>69000</v>
      </c>
      <c r="G134" s="271">
        <f t="shared" si="10"/>
        <v>69000</v>
      </c>
      <c r="H134" s="274"/>
      <c r="I134" s="303">
        <v>987264999866</v>
      </c>
      <c r="J134" s="303">
        <v>926183454667015</v>
      </c>
      <c r="K134" s="274" t="s">
        <v>163</v>
      </c>
      <c r="L134" s="169" t="s">
        <v>27</v>
      </c>
      <c r="M134" s="274" t="s">
        <v>158</v>
      </c>
    </row>
    <row r="135" spans="1:13" x14ac:dyDescent="0.35">
      <c r="A135" s="259">
        <v>131</v>
      </c>
      <c r="B135" s="263">
        <v>46200</v>
      </c>
      <c r="C135" s="263">
        <v>46200</v>
      </c>
      <c r="D135" s="260">
        <v>0.33333333333333331</v>
      </c>
      <c r="E135" s="260">
        <v>0.83333333333333337</v>
      </c>
      <c r="F135" s="278">
        <v>241000</v>
      </c>
      <c r="G135" s="264">
        <f t="shared" si="10"/>
        <v>241000</v>
      </c>
      <c r="H135" s="282">
        <f t="shared" ref="H135:H138" si="11">F135-G135</f>
        <v>0</v>
      </c>
      <c r="I135" s="284">
        <v>987264959087</v>
      </c>
      <c r="J135" s="284">
        <v>926181453416513</v>
      </c>
      <c r="K135" s="267" t="s">
        <v>166</v>
      </c>
      <c r="L135" s="266" t="s">
        <v>27</v>
      </c>
      <c r="M135" s="267" t="s">
        <v>21</v>
      </c>
    </row>
    <row r="136" spans="1:13" x14ac:dyDescent="0.35">
      <c r="A136" s="259">
        <v>132</v>
      </c>
      <c r="B136" s="263">
        <v>46200</v>
      </c>
      <c r="C136" s="263">
        <v>46200</v>
      </c>
      <c r="D136" s="260">
        <v>0.33333333333333331</v>
      </c>
      <c r="E136" s="260">
        <v>0.83333333333333337</v>
      </c>
      <c r="F136" s="278">
        <v>1271000</v>
      </c>
      <c r="G136" s="264">
        <f t="shared" si="10"/>
        <v>1271000</v>
      </c>
      <c r="H136" s="282">
        <f t="shared" si="11"/>
        <v>0</v>
      </c>
      <c r="I136" s="284">
        <v>987264959087</v>
      </c>
      <c r="J136" s="284">
        <v>926181453416513</v>
      </c>
      <c r="K136" s="267" t="s">
        <v>15</v>
      </c>
      <c r="L136" s="266" t="s">
        <v>27</v>
      </c>
      <c r="M136" s="267" t="s">
        <v>133</v>
      </c>
    </row>
    <row r="137" spans="1:13" x14ac:dyDescent="0.35">
      <c r="A137" s="259">
        <v>133</v>
      </c>
      <c r="B137" s="263">
        <v>46200</v>
      </c>
      <c r="C137" s="263">
        <v>46201</v>
      </c>
      <c r="D137" s="260">
        <v>0.83333333333333337</v>
      </c>
      <c r="E137" s="260">
        <v>0.33333333333333331</v>
      </c>
      <c r="F137" s="278">
        <v>79000</v>
      </c>
      <c r="G137" s="264">
        <f t="shared" si="10"/>
        <v>79000</v>
      </c>
      <c r="H137" s="282">
        <f t="shared" si="11"/>
        <v>0</v>
      </c>
      <c r="I137" s="284">
        <v>987264959087</v>
      </c>
      <c r="J137" s="284">
        <v>926181453416513</v>
      </c>
      <c r="K137" s="267" t="s">
        <v>19</v>
      </c>
      <c r="L137" s="266" t="s">
        <v>27</v>
      </c>
      <c r="M137" s="267" t="s">
        <v>21</v>
      </c>
    </row>
    <row r="138" spans="1:13" x14ac:dyDescent="0.35">
      <c r="A138" s="259">
        <v>134</v>
      </c>
      <c r="B138" s="263">
        <v>46200</v>
      </c>
      <c r="C138" s="263">
        <v>46201</v>
      </c>
      <c r="D138" s="260">
        <v>0.83333333333333337</v>
      </c>
      <c r="E138" s="260">
        <v>0.33333333333333331</v>
      </c>
      <c r="F138" s="278">
        <v>555000</v>
      </c>
      <c r="G138" s="264">
        <f t="shared" si="10"/>
        <v>555000</v>
      </c>
      <c r="H138" s="282">
        <f t="shared" si="11"/>
        <v>0</v>
      </c>
      <c r="I138" s="284">
        <v>987264959087</v>
      </c>
      <c r="J138" s="284">
        <v>926181453416513</v>
      </c>
      <c r="K138" s="267" t="s">
        <v>20</v>
      </c>
      <c r="L138" s="266" t="s">
        <v>27</v>
      </c>
      <c r="M138" s="267" t="s">
        <v>13</v>
      </c>
    </row>
    <row r="139" spans="1:13" x14ac:dyDescent="0.35">
      <c r="A139" s="169">
        <v>135</v>
      </c>
      <c r="B139" s="270">
        <v>46200</v>
      </c>
      <c r="C139" s="270">
        <v>46200</v>
      </c>
      <c r="D139" s="261">
        <v>0.20833333333333334</v>
      </c>
      <c r="E139" s="261">
        <v>0.91666666666666663</v>
      </c>
      <c r="F139" s="279">
        <v>50000</v>
      </c>
      <c r="G139" s="271">
        <f t="shared" si="10"/>
        <v>50000</v>
      </c>
      <c r="H139" s="274"/>
      <c r="I139" s="303">
        <v>987264999872</v>
      </c>
      <c r="J139" s="303">
        <v>926183454667631</v>
      </c>
      <c r="K139" s="274" t="s">
        <v>157</v>
      </c>
      <c r="L139" s="169" t="s">
        <v>27</v>
      </c>
      <c r="M139" s="274" t="s">
        <v>158</v>
      </c>
    </row>
    <row r="140" spans="1:13" x14ac:dyDescent="0.35">
      <c r="A140" s="259">
        <v>136</v>
      </c>
      <c r="B140" s="263">
        <v>46201</v>
      </c>
      <c r="C140" s="263">
        <v>46201</v>
      </c>
      <c r="D140" s="260">
        <v>0.33333333333333331</v>
      </c>
      <c r="E140" s="260">
        <v>0.83333333333333337</v>
      </c>
      <c r="F140" s="278">
        <v>600000</v>
      </c>
      <c r="G140" s="264">
        <f t="shared" si="10"/>
        <v>600000</v>
      </c>
      <c r="H140" s="282">
        <f t="shared" ref="H140:H143" si="12">F140-G140</f>
        <v>0</v>
      </c>
      <c r="I140" s="284">
        <v>987264959094</v>
      </c>
      <c r="J140" s="284">
        <v>926181453698553</v>
      </c>
      <c r="K140" s="267" t="s">
        <v>172</v>
      </c>
      <c r="L140" s="266" t="s">
        <v>27</v>
      </c>
      <c r="M140" s="267" t="s">
        <v>21</v>
      </c>
    </row>
    <row r="141" spans="1:13" x14ac:dyDescent="0.35">
      <c r="A141" s="259">
        <v>137</v>
      </c>
      <c r="B141" s="263">
        <v>46201</v>
      </c>
      <c r="C141" s="263">
        <v>46201</v>
      </c>
      <c r="D141" s="260">
        <v>0.33333333333333331</v>
      </c>
      <c r="E141" s="260">
        <v>0.83333333333333337</v>
      </c>
      <c r="F141" s="278">
        <v>1852000</v>
      </c>
      <c r="G141" s="264">
        <f t="shared" si="10"/>
        <v>1852000</v>
      </c>
      <c r="H141" s="282">
        <f t="shared" si="12"/>
        <v>0</v>
      </c>
      <c r="I141" s="284">
        <v>987264959094</v>
      </c>
      <c r="J141" s="284">
        <v>926181453698553</v>
      </c>
      <c r="K141" s="267" t="s">
        <v>24</v>
      </c>
      <c r="L141" s="266" t="s">
        <v>27</v>
      </c>
      <c r="M141" s="267" t="s">
        <v>13</v>
      </c>
    </row>
    <row r="142" spans="1:13" x14ac:dyDescent="0.35">
      <c r="A142" s="259">
        <v>138</v>
      </c>
      <c r="B142" s="263">
        <v>46201</v>
      </c>
      <c r="C142" s="263">
        <v>46202</v>
      </c>
      <c r="D142" s="260">
        <v>0.83333333333333337</v>
      </c>
      <c r="E142" s="260">
        <v>0.33333333333333331</v>
      </c>
      <c r="F142" s="278">
        <v>647000</v>
      </c>
      <c r="G142" s="264">
        <f t="shared" si="10"/>
        <v>647000</v>
      </c>
      <c r="H142" s="282">
        <f t="shared" si="12"/>
        <v>0</v>
      </c>
      <c r="I142" s="284">
        <v>987264959094</v>
      </c>
      <c r="J142" s="284">
        <v>926181453698553</v>
      </c>
      <c r="K142" s="267" t="s">
        <v>166</v>
      </c>
      <c r="L142" s="266" t="s">
        <v>27</v>
      </c>
      <c r="M142" s="267" t="s">
        <v>21</v>
      </c>
    </row>
    <row r="143" spans="1:13" x14ac:dyDescent="0.35">
      <c r="A143" s="259">
        <v>139</v>
      </c>
      <c r="B143" s="263">
        <v>46201</v>
      </c>
      <c r="C143" s="263">
        <v>46202</v>
      </c>
      <c r="D143" s="260">
        <v>0.83333333333333337</v>
      </c>
      <c r="E143" s="260">
        <v>0.33333333333333331</v>
      </c>
      <c r="F143" s="278">
        <v>547000</v>
      </c>
      <c r="G143" s="264">
        <f t="shared" si="10"/>
        <v>547000</v>
      </c>
      <c r="H143" s="282">
        <f t="shared" si="12"/>
        <v>0</v>
      </c>
      <c r="I143" s="284">
        <v>987264959094</v>
      </c>
      <c r="J143" s="284">
        <v>926181453698553</v>
      </c>
      <c r="K143" s="267" t="s">
        <v>15</v>
      </c>
      <c r="L143" s="266" t="s">
        <v>27</v>
      </c>
      <c r="M143" s="267" t="s">
        <v>13</v>
      </c>
    </row>
    <row r="144" spans="1:13" x14ac:dyDescent="0.35">
      <c r="A144" s="169">
        <v>140</v>
      </c>
      <c r="B144" s="270">
        <v>46201</v>
      </c>
      <c r="C144" s="270">
        <v>46201</v>
      </c>
      <c r="D144" s="261">
        <v>0.20833333333333334</v>
      </c>
      <c r="E144" s="261">
        <v>0.91666666666666663</v>
      </c>
      <c r="F144" s="279">
        <v>75000</v>
      </c>
      <c r="G144" s="271">
        <f t="shared" si="10"/>
        <v>75000</v>
      </c>
      <c r="H144" s="274"/>
      <c r="I144" s="303">
        <v>987264999879</v>
      </c>
      <c r="J144" s="303">
        <v>926183454666246</v>
      </c>
      <c r="K144" s="274" t="s">
        <v>157</v>
      </c>
      <c r="L144" s="169" t="s">
        <v>27</v>
      </c>
      <c r="M144" s="274" t="s">
        <v>158</v>
      </c>
    </row>
    <row r="145" spans="1:13" x14ac:dyDescent="0.35">
      <c r="A145" s="259">
        <v>141</v>
      </c>
      <c r="B145" s="263">
        <v>46202</v>
      </c>
      <c r="C145" s="263">
        <v>46202</v>
      </c>
      <c r="D145" s="260">
        <v>0.33333333333333331</v>
      </c>
      <c r="E145" s="260">
        <v>0.83333333333333337</v>
      </c>
      <c r="F145" s="278">
        <v>464000</v>
      </c>
      <c r="G145" s="264">
        <f t="shared" si="10"/>
        <v>464000</v>
      </c>
      <c r="H145" s="282">
        <f t="shared" ref="H145:H146" si="13">F145-G145</f>
        <v>0</v>
      </c>
      <c r="I145" s="284">
        <v>987264999809</v>
      </c>
      <c r="J145" s="284">
        <v>926183454661646</v>
      </c>
      <c r="K145" s="267" t="s">
        <v>172</v>
      </c>
      <c r="L145" s="266" t="s">
        <v>27</v>
      </c>
      <c r="M145" s="267" t="s">
        <v>21</v>
      </c>
    </row>
    <row r="146" spans="1:13" x14ac:dyDescent="0.35">
      <c r="A146" s="259">
        <v>142</v>
      </c>
      <c r="B146" s="263">
        <v>46202</v>
      </c>
      <c r="C146" s="263">
        <v>46202</v>
      </c>
      <c r="D146" s="260">
        <v>0.33333333333333331</v>
      </c>
      <c r="E146" s="260">
        <v>0.83333333333333337</v>
      </c>
      <c r="F146" s="278">
        <v>1444000</v>
      </c>
      <c r="G146" s="264">
        <f t="shared" si="10"/>
        <v>1444000</v>
      </c>
      <c r="H146" s="282">
        <f t="shared" si="13"/>
        <v>0</v>
      </c>
      <c r="I146" s="284">
        <v>987264999809</v>
      </c>
      <c r="J146" s="284">
        <v>926183454661646</v>
      </c>
      <c r="K146" s="267" t="s">
        <v>24</v>
      </c>
      <c r="L146" s="266" t="s">
        <v>27</v>
      </c>
      <c r="M146" s="267" t="s">
        <v>13</v>
      </c>
    </row>
    <row r="147" spans="1:13" x14ac:dyDescent="0.35">
      <c r="A147" s="259">
        <v>143</v>
      </c>
      <c r="B147" s="263">
        <v>46202</v>
      </c>
      <c r="C147" s="263">
        <v>46203</v>
      </c>
      <c r="D147" s="260">
        <v>0.83333333333333337</v>
      </c>
      <c r="E147" s="260">
        <v>0.33333333333333331</v>
      </c>
      <c r="F147" s="278">
        <v>120000</v>
      </c>
      <c r="G147" s="264">
        <f>SUM(F147)</f>
        <v>120000</v>
      </c>
      <c r="H147" s="282">
        <f>F147-G147</f>
        <v>0</v>
      </c>
      <c r="I147" s="284">
        <v>987264999809</v>
      </c>
      <c r="J147" s="284">
        <v>926183454661646</v>
      </c>
      <c r="K147" s="267" t="s">
        <v>166</v>
      </c>
      <c r="L147" s="266" t="s">
        <v>27</v>
      </c>
      <c r="M147" s="267" t="s">
        <v>21</v>
      </c>
    </row>
    <row r="148" spans="1:13" x14ac:dyDescent="0.35">
      <c r="A148" s="259">
        <v>144</v>
      </c>
      <c r="B148" s="263">
        <v>46202</v>
      </c>
      <c r="C148" s="263">
        <v>46203</v>
      </c>
      <c r="D148" s="260">
        <v>0.83333333333333337</v>
      </c>
      <c r="E148" s="260">
        <v>0.33333333333333331</v>
      </c>
      <c r="F148" s="278">
        <v>570000</v>
      </c>
      <c r="G148" s="264">
        <f>SUM(F148)</f>
        <v>570000</v>
      </c>
      <c r="H148" s="282"/>
      <c r="I148" s="284">
        <v>987264999809</v>
      </c>
      <c r="J148" s="284">
        <v>926183454661646</v>
      </c>
      <c r="K148" s="267" t="s">
        <v>15</v>
      </c>
      <c r="L148" s="266" t="s">
        <v>27</v>
      </c>
      <c r="M148" s="267" t="s">
        <v>13</v>
      </c>
    </row>
    <row r="149" spans="1:13" x14ac:dyDescent="0.35">
      <c r="A149" s="169">
        <v>145</v>
      </c>
      <c r="B149" s="270">
        <v>46202</v>
      </c>
      <c r="C149" s="270">
        <v>46202</v>
      </c>
      <c r="D149" s="261">
        <v>0.20833333333333334</v>
      </c>
      <c r="E149" s="261">
        <v>0.91666666666666663</v>
      </c>
      <c r="F149" s="279">
        <v>50000</v>
      </c>
      <c r="G149" s="271">
        <f t="shared" si="10"/>
        <v>50000</v>
      </c>
      <c r="H149" s="274"/>
      <c r="I149" s="298">
        <v>987264999883</v>
      </c>
      <c r="J149" s="303">
        <v>926183454669742</v>
      </c>
      <c r="K149" s="274" t="s">
        <v>157</v>
      </c>
      <c r="L149" s="169" t="s">
        <v>27</v>
      </c>
      <c r="M149" s="274" t="s">
        <v>158</v>
      </c>
    </row>
    <row r="150" spans="1:13" x14ac:dyDescent="0.35">
      <c r="A150" s="259">
        <v>146</v>
      </c>
      <c r="B150" s="263">
        <v>46203</v>
      </c>
      <c r="C150" s="263">
        <v>46203</v>
      </c>
      <c r="D150" s="260">
        <v>0.33333333333333331</v>
      </c>
      <c r="E150" s="260">
        <v>0.83333333333333337</v>
      </c>
      <c r="F150" s="278">
        <v>372000</v>
      </c>
      <c r="G150" s="264">
        <f t="shared" si="10"/>
        <v>372000</v>
      </c>
      <c r="H150" s="282">
        <f t="shared" ref="H150:H153" si="14">F150-G150</f>
        <v>0</v>
      </c>
      <c r="I150" s="284">
        <v>987264999848</v>
      </c>
      <c r="J150" s="284">
        <v>926184454903769</v>
      </c>
      <c r="K150" s="267" t="s">
        <v>19</v>
      </c>
      <c r="L150" s="266" t="s">
        <v>27</v>
      </c>
      <c r="M150" s="267" t="s">
        <v>21</v>
      </c>
    </row>
    <row r="151" spans="1:13" x14ac:dyDescent="0.35">
      <c r="A151" s="259">
        <v>147</v>
      </c>
      <c r="B151" s="263">
        <v>46203</v>
      </c>
      <c r="C151" s="263">
        <v>46203</v>
      </c>
      <c r="D151" s="260">
        <v>0.33333333333333331</v>
      </c>
      <c r="E151" s="260">
        <v>0.83333333333333337</v>
      </c>
      <c r="F151" s="278">
        <v>1437000</v>
      </c>
      <c r="G151" s="264">
        <f t="shared" si="10"/>
        <v>1437000</v>
      </c>
      <c r="H151" s="282">
        <f t="shared" si="14"/>
        <v>0</v>
      </c>
      <c r="I151" s="284">
        <v>987264999848</v>
      </c>
      <c r="J151" s="284">
        <v>926184454903769</v>
      </c>
      <c r="K151" s="267" t="s">
        <v>20</v>
      </c>
      <c r="L151" s="266" t="s">
        <v>27</v>
      </c>
      <c r="M151" s="267" t="s">
        <v>13</v>
      </c>
    </row>
    <row r="152" spans="1:13" x14ac:dyDescent="0.35">
      <c r="A152" s="259">
        <v>148</v>
      </c>
      <c r="B152" s="263">
        <v>46203</v>
      </c>
      <c r="C152" s="263">
        <v>46204</v>
      </c>
      <c r="D152" s="260">
        <v>0.83333333333333337</v>
      </c>
      <c r="E152" s="260">
        <v>0.33333333333333331</v>
      </c>
      <c r="F152" s="278">
        <v>317000</v>
      </c>
      <c r="G152" s="264">
        <f t="shared" si="10"/>
        <v>317000</v>
      </c>
      <c r="H152" s="282">
        <f t="shared" si="14"/>
        <v>0</v>
      </c>
      <c r="I152" s="284">
        <v>987264999848</v>
      </c>
      <c r="J152" s="284">
        <v>926184454903769</v>
      </c>
      <c r="K152" s="267" t="s">
        <v>172</v>
      </c>
      <c r="L152" s="266" t="s">
        <v>27</v>
      </c>
      <c r="M152" s="267" t="s">
        <v>21</v>
      </c>
    </row>
    <row r="153" spans="1:13" x14ac:dyDescent="0.35">
      <c r="A153" s="259">
        <v>149</v>
      </c>
      <c r="B153" s="263">
        <v>46203</v>
      </c>
      <c r="C153" s="263">
        <v>46204</v>
      </c>
      <c r="D153" s="260">
        <v>0.83333333333333337</v>
      </c>
      <c r="E153" s="260">
        <v>0.33333333333333331</v>
      </c>
      <c r="F153" s="278">
        <v>592000</v>
      </c>
      <c r="G153" s="264">
        <f t="shared" si="10"/>
        <v>592000</v>
      </c>
      <c r="H153" s="282">
        <f t="shared" si="14"/>
        <v>0</v>
      </c>
      <c r="I153" s="284">
        <v>987264999848</v>
      </c>
      <c r="J153" s="284">
        <v>926184454903769</v>
      </c>
      <c r="K153" s="267" t="s">
        <v>24</v>
      </c>
      <c r="L153" s="266" t="s">
        <v>27</v>
      </c>
      <c r="M153" s="267" t="s">
        <v>13</v>
      </c>
    </row>
    <row r="154" spans="1:13" x14ac:dyDescent="0.35">
      <c r="A154" s="169">
        <v>150</v>
      </c>
      <c r="B154" s="270">
        <v>46203</v>
      </c>
      <c r="C154" s="270">
        <v>46203</v>
      </c>
      <c r="D154" s="261">
        <v>0.20833333333333334</v>
      </c>
      <c r="E154" s="261">
        <v>0.91666666666666663</v>
      </c>
      <c r="F154" s="279">
        <v>56000</v>
      </c>
      <c r="G154" s="271">
        <f t="shared" si="10"/>
        <v>56000</v>
      </c>
      <c r="H154" s="274"/>
      <c r="I154" s="303">
        <v>987264999898</v>
      </c>
      <c r="J154" s="303">
        <v>926183454669234</v>
      </c>
      <c r="K154" s="274" t="s">
        <v>157</v>
      </c>
      <c r="L154" s="169" t="s">
        <v>27</v>
      </c>
      <c r="M154" s="274" t="s">
        <v>158</v>
      </c>
    </row>
    <row r="155" spans="1:13" x14ac:dyDescent="0.35">
      <c r="A155" s="310" t="s">
        <v>4</v>
      </c>
      <c r="B155" s="311"/>
      <c r="C155" s="311"/>
      <c r="D155" s="311"/>
      <c r="E155" s="312"/>
      <c r="F155" s="280">
        <f>SUM(F5:F154)</f>
        <v>79415000</v>
      </c>
      <c r="G155" s="275">
        <f>SUM(F155)</f>
        <v>79415000</v>
      </c>
      <c r="H155" s="276"/>
      <c r="I155" s="276"/>
      <c r="J155" s="276"/>
      <c r="K155" s="276"/>
      <c r="L155" s="281"/>
      <c r="M155" s="276"/>
    </row>
  </sheetData>
  <mergeCells count="4">
    <mergeCell ref="C1:N1"/>
    <mergeCell ref="C2:N2"/>
    <mergeCell ref="C3:N3"/>
    <mergeCell ref="A155:E155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CB662-48FA-4E2B-9FA3-19A2A2154191}">
  <dimension ref="A1:M155"/>
  <sheetViews>
    <sheetView tabSelected="1" topLeftCell="F22" workbookViewId="0">
      <selection activeCell="K32" sqref="K32"/>
    </sheetView>
  </sheetViews>
  <sheetFormatPr defaultRowHeight="14.5" x14ac:dyDescent="0.35"/>
  <cols>
    <col min="1" max="1" width="9.1796875" customWidth="1"/>
    <col min="2" max="2" width="15.54296875" customWidth="1"/>
    <col min="3" max="3" width="14" customWidth="1"/>
    <col min="4" max="4" width="14.54296875" customWidth="1"/>
    <col min="5" max="5" width="15.36328125" customWidth="1"/>
    <col min="6" max="6" width="22.26953125" style="302" customWidth="1"/>
    <col min="7" max="7" width="20.6328125" customWidth="1"/>
    <col min="8" max="8" width="19.1796875" customWidth="1"/>
    <col min="9" max="9" width="17.08984375" customWidth="1"/>
    <col min="10" max="10" width="19.453125" customWidth="1"/>
    <col min="11" max="11" width="17.54296875" customWidth="1"/>
    <col min="12" max="12" width="24.453125" customWidth="1"/>
    <col min="13" max="13" width="16.36328125" style="8" customWidth="1"/>
  </cols>
  <sheetData>
    <row r="1" spans="1:13" x14ac:dyDescent="0.35">
      <c r="A1" s="313" t="s">
        <v>50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4"/>
    </row>
    <row r="2" spans="1:13" x14ac:dyDescent="0.35">
      <c r="A2" s="315">
        <v>46204</v>
      </c>
      <c r="B2" s="315"/>
      <c r="C2" s="315"/>
      <c r="D2" s="315"/>
      <c r="E2" s="315"/>
      <c r="F2" s="315"/>
      <c r="G2" s="315"/>
      <c r="H2" s="315"/>
      <c r="I2" s="315"/>
      <c r="J2" s="315"/>
      <c r="K2" s="315"/>
      <c r="L2" s="316"/>
    </row>
    <row r="3" spans="1:13" ht="15" thickBot="1" x14ac:dyDescent="0.4">
      <c r="A3" s="317" t="s">
        <v>155</v>
      </c>
      <c r="B3" s="317"/>
      <c r="C3" s="317"/>
      <c r="D3" s="317"/>
      <c r="E3" s="317"/>
      <c r="F3" s="317"/>
      <c r="G3" s="317"/>
      <c r="H3" s="317"/>
      <c r="I3" s="317"/>
      <c r="J3" s="317"/>
      <c r="K3" s="317"/>
      <c r="L3" s="318"/>
    </row>
    <row r="4" spans="1:13" x14ac:dyDescent="0.35">
      <c r="A4" s="293" t="s">
        <v>52</v>
      </c>
      <c r="B4" s="292" t="s">
        <v>2</v>
      </c>
      <c r="C4" s="297" t="s">
        <v>3</v>
      </c>
      <c r="D4" s="293" t="s">
        <v>0</v>
      </c>
      <c r="E4" s="293" t="s">
        <v>1</v>
      </c>
      <c r="F4" s="299" t="s">
        <v>10</v>
      </c>
      <c r="G4" s="294" t="s">
        <v>9</v>
      </c>
      <c r="H4" s="295" t="s">
        <v>11</v>
      </c>
      <c r="I4" s="296" t="s">
        <v>18</v>
      </c>
      <c r="J4" s="292" t="s">
        <v>17</v>
      </c>
      <c r="K4" s="293" t="s">
        <v>5</v>
      </c>
      <c r="L4" s="292" t="s">
        <v>8</v>
      </c>
      <c r="M4" s="305" t="s">
        <v>6</v>
      </c>
    </row>
    <row r="5" spans="1:13" x14ac:dyDescent="0.35">
      <c r="A5" s="259">
        <v>1</v>
      </c>
      <c r="B5" s="262">
        <v>46204</v>
      </c>
      <c r="C5" s="263">
        <v>46204</v>
      </c>
      <c r="D5" s="260">
        <v>0.33333333333333331</v>
      </c>
      <c r="E5" s="260">
        <v>0.83333333333333337</v>
      </c>
      <c r="F5" s="286">
        <v>219000</v>
      </c>
      <c r="G5" s="264">
        <f t="shared" ref="G5:G71" si="0">SUM(F5)</f>
        <v>219000</v>
      </c>
      <c r="H5" s="287">
        <f t="shared" ref="H5:H71" si="1">F5-G5</f>
        <v>0</v>
      </c>
      <c r="I5" s="309">
        <v>987265001116</v>
      </c>
      <c r="J5" s="309">
        <v>926185455254174</v>
      </c>
      <c r="K5" s="289" t="s">
        <v>19</v>
      </c>
      <c r="L5" s="288" t="s">
        <v>177</v>
      </c>
      <c r="M5" s="306" t="s">
        <v>21</v>
      </c>
    </row>
    <row r="6" spans="1:13" x14ac:dyDescent="0.35">
      <c r="A6" s="259">
        <v>2</v>
      </c>
      <c r="B6" s="262" t="s">
        <v>148</v>
      </c>
      <c r="C6" s="263">
        <v>46204</v>
      </c>
      <c r="D6" s="260">
        <v>0.33333333333333331</v>
      </c>
      <c r="E6" s="260">
        <v>0.83333333333333337</v>
      </c>
      <c r="F6" s="286">
        <v>1446000</v>
      </c>
      <c r="G6" s="264">
        <f t="shared" si="0"/>
        <v>1446000</v>
      </c>
      <c r="H6" s="287">
        <f t="shared" si="1"/>
        <v>0</v>
      </c>
      <c r="I6" s="309">
        <v>987265001116</v>
      </c>
      <c r="J6" s="309">
        <v>926185455254174</v>
      </c>
      <c r="K6" s="289" t="s">
        <v>20</v>
      </c>
      <c r="L6" s="288" t="s">
        <v>177</v>
      </c>
      <c r="M6" s="306" t="s">
        <v>13</v>
      </c>
    </row>
    <row r="7" spans="1:13" x14ac:dyDescent="0.35">
      <c r="A7" s="259">
        <v>3</v>
      </c>
      <c r="B7" s="262">
        <v>46204</v>
      </c>
      <c r="C7" s="263">
        <v>46205</v>
      </c>
      <c r="D7" s="260">
        <v>0.83333333333333337</v>
      </c>
      <c r="E7" s="260">
        <v>0.33333333333333331</v>
      </c>
      <c r="F7" s="286">
        <v>89000</v>
      </c>
      <c r="G7" s="264">
        <f t="shared" si="0"/>
        <v>89000</v>
      </c>
      <c r="H7" s="287">
        <f t="shared" si="1"/>
        <v>0</v>
      </c>
      <c r="I7" s="309">
        <v>987265001116</v>
      </c>
      <c r="J7" s="309">
        <v>926185455254174</v>
      </c>
      <c r="K7" s="290" t="s">
        <v>175</v>
      </c>
      <c r="L7" s="288" t="s">
        <v>177</v>
      </c>
      <c r="M7" s="306" t="s">
        <v>21</v>
      </c>
    </row>
    <row r="8" spans="1:13" x14ac:dyDescent="0.35">
      <c r="A8" s="259">
        <v>4</v>
      </c>
      <c r="B8" s="262">
        <v>46204</v>
      </c>
      <c r="C8" s="263">
        <v>46205</v>
      </c>
      <c r="D8" s="260">
        <v>0.83333333333333337</v>
      </c>
      <c r="E8" s="260">
        <v>0.33333333333333331</v>
      </c>
      <c r="F8" s="286">
        <v>495000</v>
      </c>
      <c r="G8" s="264">
        <f t="shared" si="0"/>
        <v>495000</v>
      </c>
      <c r="H8" s="287">
        <f t="shared" si="1"/>
        <v>0</v>
      </c>
      <c r="I8" s="309">
        <v>987265001116</v>
      </c>
      <c r="J8" s="309">
        <v>926185455254174</v>
      </c>
      <c r="K8" s="290" t="s">
        <v>24</v>
      </c>
      <c r="L8" s="288" t="s">
        <v>177</v>
      </c>
      <c r="M8" s="306" t="s">
        <v>13</v>
      </c>
    </row>
    <row r="9" spans="1:13" x14ac:dyDescent="0.35">
      <c r="A9" s="169">
        <v>5</v>
      </c>
      <c r="B9" s="269">
        <v>46204</v>
      </c>
      <c r="C9" s="269">
        <v>46204</v>
      </c>
      <c r="D9" s="261">
        <v>0.20833333333333334</v>
      </c>
      <c r="E9" s="261">
        <v>0.91666666666666663</v>
      </c>
      <c r="F9" s="271">
        <v>55000</v>
      </c>
      <c r="G9" s="271">
        <f t="shared" si="0"/>
        <v>55000</v>
      </c>
      <c r="H9" s="273"/>
      <c r="I9" s="169" t="s">
        <v>174</v>
      </c>
      <c r="J9" s="169" t="s">
        <v>153</v>
      </c>
      <c r="K9" s="273" t="s">
        <v>157</v>
      </c>
      <c r="L9" s="169" t="s">
        <v>45</v>
      </c>
      <c r="M9" s="304" t="s">
        <v>158</v>
      </c>
    </row>
    <row r="10" spans="1:13" x14ac:dyDescent="0.35">
      <c r="A10" s="259">
        <v>6</v>
      </c>
      <c r="B10" s="263">
        <v>46205</v>
      </c>
      <c r="C10" s="263">
        <v>46205</v>
      </c>
      <c r="D10" s="260">
        <v>0.33333333333333331</v>
      </c>
      <c r="E10" s="260">
        <v>0.83333333333333337</v>
      </c>
      <c r="F10" s="286">
        <v>315000</v>
      </c>
      <c r="G10" s="264">
        <f t="shared" si="0"/>
        <v>315000</v>
      </c>
      <c r="H10" s="287">
        <f t="shared" si="1"/>
        <v>0</v>
      </c>
      <c r="I10" s="288" t="s">
        <v>174</v>
      </c>
      <c r="J10" s="288" t="s">
        <v>153</v>
      </c>
      <c r="K10" s="290" t="s">
        <v>166</v>
      </c>
      <c r="L10" s="291" t="s">
        <v>45</v>
      </c>
      <c r="M10" s="306" t="s">
        <v>21</v>
      </c>
    </row>
    <row r="11" spans="1:13" x14ac:dyDescent="0.35">
      <c r="A11" s="259">
        <v>7</v>
      </c>
      <c r="B11" s="263">
        <v>46205</v>
      </c>
      <c r="C11" s="263">
        <v>46205</v>
      </c>
      <c r="D11" s="260">
        <v>0.33333333333333331</v>
      </c>
      <c r="E11" s="260">
        <v>0.83333333333333337</v>
      </c>
      <c r="F11" s="286">
        <v>1201000</v>
      </c>
      <c r="G11" s="264">
        <f t="shared" si="0"/>
        <v>1201000</v>
      </c>
      <c r="H11" s="287">
        <f t="shared" si="1"/>
        <v>0</v>
      </c>
      <c r="I11" s="288" t="s">
        <v>174</v>
      </c>
      <c r="J11" s="288" t="s">
        <v>153</v>
      </c>
      <c r="K11" s="290" t="s">
        <v>15</v>
      </c>
      <c r="L11" s="291" t="s">
        <v>45</v>
      </c>
      <c r="M11" s="306" t="s">
        <v>13</v>
      </c>
    </row>
    <row r="12" spans="1:13" x14ac:dyDescent="0.35">
      <c r="A12" s="259">
        <v>8</v>
      </c>
      <c r="B12" s="263">
        <v>46205</v>
      </c>
      <c r="C12" s="263">
        <v>46206</v>
      </c>
      <c r="D12" s="260">
        <v>0.83333333333333337</v>
      </c>
      <c r="E12" s="260">
        <v>0.33333333333333331</v>
      </c>
      <c r="F12" s="286">
        <v>121000</v>
      </c>
      <c r="G12" s="264">
        <f t="shared" si="0"/>
        <v>121000</v>
      </c>
      <c r="H12" s="287">
        <f t="shared" si="1"/>
        <v>0</v>
      </c>
      <c r="I12" s="288" t="s">
        <v>174</v>
      </c>
      <c r="J12" s="288" t="s">
        <v>153</v>
      </c>
      <c r="K12" s="290" t="s">
        <v>19</v>
      </c>
      <c r="L12" s="291" t="s">
        <v>45</v>
      </c>
      <c r="M12" s="306" t="s">
        <v>21</v>
      </c>
    </row>
    <row r="13" spans="1:13" x14ac:dyDescent="0.35">
      <c r="A13" s="259">
        <v>9</v>
      </c>
      <c r="B13" s="263">
        <v>46205</v>
      </c>
      <c r="C13" s="263">
        <v>46206</v>
      </c>
      <c r="D13" s="260">
        <v>0.83333333333333337</v>
      </c>
      <c r="E13" s="260">
        <v>0.33333333333333331</v>
      </c>
      <c r="F13" s="286">
        <v>610000</v>
      </c>
      <c r="G13" s="264">
        <f t="shared" si="0"/>
        <v>610000</v>
      </c>
      <c r="H13" s="287">
        <f t="shared" si="1"/>
        <v>0</v>
      </c>
      <c r="I13" s="288" t="s">
        <v>174</v>
      </c>
      <c r="J13" s="288" t="s">
        <v>153</v>
      </c>
      <c r="K13" s="290" t="s">
        <v>20</v>
      </c>
      <c r="L13" s="291" t="s">
        <v>45</v>
      </c>
      <c r="M13" s="306" t="s">
        <v>13</v>
      </c>
    </row>
    <row r="14" spans="1:13" x14ac:dyDescent="0.35">
      <c r="A14" s="169">
        <v>10</v>
      </c>
      <c r="B14" s="270">
        <v>46205</v>
      </c>
      <c r="C14" s="270">
        <v>46205</v>
      </c>
      <c r="D14" s="261">
        <v>0.20833333333333334</v>
      </c>
      <c r="E14" s="261">
        <v>0.91666666666666663</v>
      </c>
      <c r="F14" s="271">
        <v>81000</v>
      </c>
      <c r="G14" s="271">
        <f t="shared" si="0"/>
        <v>81000</v>
      </c>
      <c r="H14" s="273"/>
      <c r="I14" s="169" t="s">
        <v>174</v>
      </c>
      <c r="J14" s="169" t="s">
        <v>153</v>
      </c>
      <c r="K14" s="273" t="s">
        <v>160</v>
      </c>
      <c r="L14" s="169" t="s">
        <v>45</v>
      </c>
      <c r="M14" s="304" t="s">
        <v>158</v>
      </c>
    </row>
    <row r="15" spans="1:13" x14ac:dyDescent="0.35">
      <c r="A15" s="259">
        <v>11</v>
      </c>
      <c r="B15" s="263">
        <v>46176</v>
      </c>
      <c r="C15" s="263">
        <v>46206</v>
      </c>
      <c r="D15" s="260">
        <v>0.33333333333333331</v>
      </c>
      <c r="E15" s="260">
        <v>0.83333333333333337</v>
      </c>
      <c r="F15" s="286">
        <v>387000</v>
      </c>
      <c r="G15" s="264">
        <f t="shared" si="0"/>
        <v>387000</v>
      </c>
      <c r="H15" s="287">
        <f t="shared" si="1"/>
        <v>0</v>
      </c>
      <c r="I15" s="288" t="s">
        <v>174</v>
      </c>
      <c r="J15" s="288" t="s">
        <v>153</v>
      </c>
      <c r="K15" s="290" t="s">
        <v>166</v>
      </c>
      <c r="L15" s="291" t="s">
        <v>45</v>
      </c>
      <c r="M15" s="306" t="s">
        <v>21</v>
      </c>
    </row>
    <row r="16" spans="1:13" x14ac:dyDescent="0.35">
      <c r="A16" s="259">
        <v>12</v>
      </c>
      <c r="B16" s="263">
        <v>46176</v>
      </c>
      <c r="C16" s="263">
        <v>46206</v>
      </c>
      <c r="D16" s="260">
        <v>0.33333333333333331</v>
      </c>
      <c r="E16" s="260">
        <v>0.83333333333333337</v>
      </c>
      <c r="F16" s="286">
        <v>1498000</v>
      </c>
      <c r="G16" s="264">
        <f t="shared" si="0"/>
        <v>1498000</v>
      </c>
      <c r="H16" s="287">
        <f t="shared" si="1"/>
        <v>0</v>
      </c>
      <c r="I16" s="288" t="s">
        <v>174</v>
      </c>
      <c r="J16" s="288" t="s">
        <v>153</v>
      </c>
      <c r="K16" s="290" t="s">
        <v>15</v>
      </c>
      <c r="L16" s="291" t="s">
        <v>45</v>
      </c>
      <c r="M16" s="306" t="s">
        <v>13</v>
      </c>
    </row>
    <row r="17" spans="1:13" x14ac:dyDescent="0.35">
      <c r="A17" s="259">
        <v>13</v>
      </c>
      <c r="B17" s="263">
        <v>46176</v>
      </c>
      <c r="C17" s="263">
        <v>46207</v>
      </c>
      <c r="D17" s="260">
        <v>0.83333333333333337</v>
      </c>
      <c r="E17" s="260">
        <v>0.33333333333333331</v>
      </c>
      <c r="F17" s="286">
        <v>146000</v>
      </c>
      <c r="G17" s="264">
        <f t="shared" si="0"/>
        <v>146000</v>
      </c>
      <c r="H17" s="287">
        <f t="shared" si="1"/>
        <v>0</v>
      </c>
      <c r="I17" s="288" t="s">
        <v>174</v>
      </c>
      <c r="J17" s="288" t="s">
        <v>153</v>
      </c>
      <c r="K17" s="290" t="s">
        <v>19</v>
      </c>
      <c r="L17" s="291" t="s">
        <v>45</v>
      </c>
      <c r="M17" s="306" t="s">
        <v>21</v>
      </c>
    </row>
    <row r="18" spans="1:13" x14ac:dyDescent="0.35">
      <c r="A18" s="259">
        <v>14</v>
      </c>
      <c r="B18" s="263">
        <v>46176</v>
      </c>
      <c r="C18" s="263">
        <v>46207</v>
      </c>
      <c r="D18" s="260">
        <v>0.83333333333333337</v>
      </c>
      <c r="E18" s="260">
        <v>0.33333333333333331</v>
      </c>
      <c r="F18" s="286">
        <v>398000</v>
      </c>
      <c r="G18" s="264">
        <f t="shared" si="0"/>
        <v>398000</v>
      </c>
      <c r="H18" s="287">
        <f t="shared" si="1"/>
        <v>0</v>
      </c>
      <c r="I18" s="288" t="s">
        <v>174</v>
      </c>
      <c r="J18" s="288" t="s">
        <v>153</v>
      </c>
      <c r="K18" s="290" t="s">
        <v>20</v>
      </c>
      <c r="L18" s="291" t="s">
        <v>45</v>
      </c>
      <c r="M18" s="306" t="s">
        <v>13</v>
      </c>
    </row>
    <row r="19" spans="1:13" x14ac:dyDescent="0.35">
      <c r="A19" s="169">
        <v>15</v>
      </c>
      <c r="B19" s="270">
        <v>46206</v>
      </c>
      <c r="C19" s="270">
        <v>46206</v>
      </c>
      <c r="D19" s="261">
        <v>0.20833333333333334</v>
      </c>
      <c r="E19" s="261">
        <v>0.91666666666666663</v>
      </c>
      <c r="F19" s="271">
        <v>80000</v>
      </c>
      <c r="G19" s="271">
        <f t="shared" si="0"/>
        <v>80000</v>
      </c>
      <c r="H19" s="273"/>
      <c r="I19" s="169" t="s">
        <v>174</v>
      </c>
      <c r="J19" s="169" t="s">
        <v>153</v>
      </c>
      <c r="K19" s="273" t="s">
        <v>160</v>
      </c>
      <c r="L19" s="169" t="s">
        <v>45</v>
      </c>
      <c r="M19" s="304" t="s">
        <v>158</v>
      </c>
    </row>
    <row r="20" spans="1:13" x14ac:dyDescent="0.35">
      <c r="A20" s="259">
        <v>16</v>
      </c>
      <c r="B20" s="263">
        <v>46207</v>
      </c>
      <c r="C20" s="263">
        <v>46207</v>
      </c>
      <c r="D20" s="260">
        <v>0.33333333333333331</v>
      </c>
      <c r="E20" s="260">
        <v>0.83333333333333337</v>
      </c>
      <c r="F20" s="286">
        <v>355000</v>
      </c>
      <c r="G20" s="264">
        <f t="shared" si="0"/>
        <v>355000</v>
      </c>
      <c r="H20" s="287">
        <f t="shared" si="1"/>
        <v>0</v>
      </c>
      <c r="I20" s="288" t="s">
        <v>174</v>
      </c>
      <c r="J20" s="288" t="s">
        <v>153</v>
      </c>
      <c r="K20" s="290" t="s">
        <v>175</v>
      </c>
      <c r="L20" s="291" t="s">
        <v>45</v>
      </c>
      <c r="M20" s="306" t="s">
        <v>21</v>
      </c>
    </row>
    <row r="21" spans="1:13" x14ac:dyDescent="0.35">
      <c r="A21" s="259">
        <v>17</v>
      </c>
      <c r="B21" s="263">
        <v>46207</v>
      </c>
      <c r="C21" s="263">
        <v>46207</v>
      </c>
      <c r="D21" s="260">
        <v>0.33333333333333331</v>
      </c>
      <c r="E21" s="260">
        <v>0.83333333333333337</v>
      </c>
      <c r="F21" s="286">
        <v>1766000</v>
      </c>
      <c r="G21" s="264">
        <f t="shared" si="0"/>
        <v>1766000</v>
      </c>
      <c r="H21" s="287">
        <f t="shared" si="1"/>
        <v>0</v>
      </c>
      <c r="I21" s="288" t="s">
        <v>174</v>
      </c>
      <c r="J21" s="288" t="s">
        <v>153</v>
      </c>
      <c r="K21" s="290" t="s">
        <v>24</v>
      </c>
      <c r="L21" s="291" t="s">
        <v>45</v>
      </c>
      <c r="M21" s="306" t="s">
        <v>13</v>
      </c>
    </row>
    <row r="22" spans="1:13" x14ac:dyDescent="0.35">
      <c r="A22" s="259">
        <v>18</v>
      </c>
      <c r="B22" s="263">
        <v>46207</v>
      </c>
      <c r="C22" s="263">
        <v>46208</v>
      </c>
      <c r="D22" s="260">
        <v>0.83333333333333337</v>
      </c>
      <c r="E22" s="260">
        <v>0.33333333333333331</v>
      </c>
      <c r="F22" s="286">
        <v>134000</v>
      </c>
      <c r="G22" s="264">
        <f t="shared" si="0"/>
        <v>134000</v>
      </c>
      <c r="H22" s="287">
        <f t="shared" si="1"/>
        <v>0</v>
      </c>
      <c r="I22" s="288" t="s">
        <v>174</v>
      </c>
      <c r="J22" s="288" t="s">
        <v>153</v>
      </c>
      <c r="K22" s="290" t="s">
        <v>166</v>
      </c>
      <c r="L22" s="291" t="s">
        <v>45</v>
      </c>
      <c r="M22" s="306" t="s">
        <v>21</v>
      </c>
    </row>
    <row r="23" spans="1:13" x14ac:dyDescent="0.35">
      <c r="A23" s="259">
        <v>19</v>
      </c>
      <c r="B23" s="263">
        <v>46207</v>
      </c>
      <c r="C23" s="263">
        <v>46208</v>
      </c>
      <c r="D23" s="260">
        <v>0.83333333333333337</v>
      </c>
      <c r="E23" s="260">
        <v>0.33333333333333331</v>
      </c>
      <c r="F23" s="286">
        <v>556000</v>
      </c>
      <c r="G23" s="264">
        <f t="shared" si="0"/>
        <v>556000</v>
      </c>
      <c r="H23" s="287">
        <f t="shared" si="1"/>
        <v>0</v>
      </c>
      <c r="I23" s="288" t="s">
        <v>174</v>
      </c>
      <c r="J23" s="288" t="s">
        <v>153</v>
      </c>
      <c r="K23" s="290" t="s">
        <v>15</v>
      </c>
      <c r="L23" s="291" t="s">
        <v>45</v>
      </c>
      <c r="M23" s="306" t="s">
        <v>13</v>
      </c>
    </row>
    <row r="24" spans="1:13" x14ac:dyDescent="0.35">
      <c r="A24" s="169">
        <v>20</v>
      </c>
      <c r="B24" s="270">
        <v>46207</v>
      </c>
      <c r="C24" s="270">
        <v>46207</v>
      </c>
      <c r="D24" s="261">
        <v>0.20833333333333334</v>
      </c>
      <c r="E24" s="261">
        <v>0.91666666666666663</v>
      </c>
      <c r="F24" s="271">
        <v>60000</v>
      </c>
      <c r="G24" s="271">
        <f t="shared" si="0"/>
        <v>60000</v>
      </c>
      <c r="H24" s="273"/>
      <c r="I24" s="169" t="s">
        <v>174</v>
      </c>
      <c r="J24" s="169" t="s">
        <v>153</v>
      </c>
      <c r="K24" s="273" t="s">
        <v>160</v>
      </c>
      <c r="L24" s="169" t="s">
        <v>45</v>
      </c>
      <c r="M24" s="304" t="s">
        <v>158</v>
      </c>
    </row>
    <row r="25" spans="1:13" x14ac:dyDescent="0.35">
      <c r="A25" s="259">
        <v>21</v>
      </c>
      <c r="B25" s="263">
        <v>46208</v>
      </c>
      <c r="C25" s="263">
        <v>46208</v>
      </c>
      <c r="D25" s="260">
        <v>0.33333333333333331</v>
      </c>
      <c r="E25" s="260">
        <v>0.83333333333333337</v>
      </c>
      <c r="F25" s="286">
        <v>836000</v>
      </c>
      <c r="G25" s="264">
        <f t="shared" si="0"/>
        <v>836000</v>
      </c>
      <c r="H25" s="287">
        <f t="shared" si="1"/>
        <v>0</v>
      </c>
      <c r="I25" s="288" t="s">
        <v>174</v>
      </c>
      <c r="J25" s="288" t="s">
        <v>153</v>
      </c>
      <c r="K25" s="290" t="s">
        <v>175</v>
      </c>
      <c r="L25" s="291" t="s">
        <v>45</v>
      </c>
      <c r="M25" s="306" t="s">
        <v>21</v>
      </c>
    </row>
    <row r="26" spans="1:13" x14ac:dyDescent="0.35">
      <c r="A26" s="259">
        <v>22</v>
      </c>
      <c r="B26" s="263">
        <v>46208</v>
      </c>
      <c r="C26" s="263">
        <v>46208</v>
      </c>
      <c r="D26" s="260">
        <v>0.33333333333333331</v>
      </c>
      <c r="E26" s="260">
        <v>0.83333333333333337</v>
      </c>
      <c r="F26" s="286">
        <v>1906000</v>
      </c>
      <c r="G26" s="264">
        <f t="shared" si="0"/>
        <v>1906000</v>
      </c>
      <c r="H26" s="287">
        <f t="shared" si="1"/>
        <v>0</v>
      </c>
      <c r="I26" s="288" t="s">
        <v>174</v>
      </c>
      <c r="J26" s="288" t="s">
        <v>153</v>
      </c>
      <c r="K26" s="290" t="s">
        <v>24</v>
      </c>
      <c r="L26" s="291" t="s">
        <v>45</v>
      </c>
      <c r="M26" s="306" t="s">
        <v>13</v>
      </c>
    </row>
    <row r="27" spans="1:13" x14ac:dyDescent="0.35">
      <c r="A27" s="259">
        <v>23</v>
      </c>
      <c r="B27" s="263">
        <v>46208</v>
      </c>
      <c r="C27" s="263">
        <v>46209</v>
      </c>
      <c r="D27" s="260">
        <v>0.83333333333333337</v>
      </c>
      <c r="E27" s="260">
        <v>0.33333333333333331</v>
      </c>
      <c r="F27" s="286"/>
      <c r="G27" s="264">
        <f t="shared" si="0"/>
        <v>0</v>
      </c>
      <c r="H27" s="287">
        <f t="shared" si="1"/>
        <v>0</v>
      </c>
      <c r="I27" s="288"/>
      <c r="J27" s="288"/>
      <c r="K27" s="290"/>
      <c r="L27" s="291"/>
      <c r="M27" s="306"/>
    </row>
    <row r="28" spans="1:13" x14ac:dyDescent="0.35">
      <c r="A28" s="259">
        <v>24</v>
      </c>
      <c r="B28" s="263">
        <v>46208</v>
      </c>
      <c r="C28" s="263">
        <v>46209</v>
      </c>
      <c r="D28" s="260">
        <v>0.83333333333333337</v>
      </c>
      <c r="E28" s="260">
        <v>0.33333333333333331</v>
      </c>
      <c r="F28" s="286"/>
      <c r="G28" s="264">
        <f t="shared" si="0"/>
        <v>0</v>
      </c>
      <c r="H28" s="287">
        <f t="shared" si="1"/>
        <v>0</v>
      </c>
      <c r="I28" s="288"/>
      <c r="J28" s="288"/>
      <c r="K28" s="290"/>
      <c r="L28" s="291"/>
      <c r="M28" s="306"/>
    </row>
    <row r="29" spans="1:13" x14ac:dyDescent="0.35">
      <c r="A29" s="169">
        <v>25</v>
      </c>
      <c r="B29" s="270">
        <v>46208</v>
      </c>
      <c r="C29" s="270">
        <v>46208</v>
      </c>
      <c r="D29" s="261">
        <v>0.20833333333333334</v>
      </c>
      <c r="E29" s="261">
        <v>0.91666666666666663</v>
      </c>
      <c r="F29" s="407" t="s">
        <v>178</v>
      </c>
      <c r="G29" s="408"/>
      <c r="H29" s="408"/>
      <c r="I29" s="408"/>
      <c r="J29" s="408"/>
      <c r="K29" s="408"/>
      <c r="L29" s="409"/>
      <c r="M29" s="304" t="s">
        <v>158</v>
      </c>
    </row>
    <row r="30" spans="1:13" x14ac:dyDescent="0.35">
      <c r="A30" s="259">
        <v>26</v>
      </c>
      <c r="B30" s="263">
        <v>46209</v>
      </c>
      <c r="C30" s="263">
        <v>46209</v>
      </c>
      <c r="D30" s="260">
        <v>0.33333333333333331</v>
      </c>
      <c r="E30" s="260">
        <v>0.83333333333333337</v>
      </c>
      <c r="F30" s="286"/>
      <c r="G30" s="264">
        <f t="shared" si="0"/>
        <v>0</v>
      </c>
      <c r="H30" s="287">
        <f t="shared" si="1"/>
        <v>0</v>
      </c>
      <c r="I30" s="288"/>
      <c r="J30" s="288"/>
      <c r="K30" s="290"/>
      <c r="L30" s="291"/>
      <c r="M30" s="306"/>
    </row>
    <row r="31" spans="1:13" x14ac:dyDescent="0.35">
      <c r="A31" s="259">
        <v>27</v>
      </c>
      <c r="B31" s="263">
        <v>46209</v>
      </c>
      <c r="C31" s="263">
        <v>46209</v>
      </c>
      <c r="D31" s="260">
        <v>0.33333333333333331</v>
      </c>
      <c r="E31" s="260">
        <v>0.83333333333333337</v>
      </c>
      <c r="F31" s="286"/>
      <c r="G31" s="264">
        <f t="shared" si="0"/>
        <v>0</v>
      </c>
      <c r="H31" s="287">
        <f t="shared" si="1"/>
        <v>0</v>
      </c>
      <c r="I31" s="288"/>
      <c r="J31" s="288"/>
      <c r="K31" s="290"/>
      <c r="L31" s="291"/>
      <c r="M31" s="306"/>
    </row>
    <row r="32" spans="1:13" x14ac:dyDescent="0.35">
      <c r="A32" s="259">
        <v>28</v>
      </c>
      <c r="B32" s="263">
        <v>46209</v>
      </c>
      <c r="C32" s="263">
        <v>46210</v>
      </c>
      <c r="D32" s="260">
        <v>0.83333333333333337</v>
      </c>
      <c r="E32" s="260">
        <v>0.33333333333333331</v>
      </c>
      <c r="F32" s="286"/>
      <c r="G32" s="264">
        <f t="shared" si="0"/>
        <v>0</v>
      </c>
      <c r="H32" s="287">
        <f t="shared" si="1"/>
        <v>0</v>
      </c>
      <c r="I32" s="288"/>
      <c r="J32" s="288"/>
      <c r="K32" s="290"/>
      <c r="L32" s="291"/>
      <c r="M32" s="306"/>
    </row>
    <row r="33" spans="1:13" x14ac:dyDescent="0.35">
      <c r="A33" s="259">
        <v>29</v>
      </c>
      <c r="B33" s="263">
        <v>46209</v>
      </c>
      <c r="C33" s="263">
        <v>46210</v>
      </c>
      <c r="D33" s="260">
        <v>0.83333333333333337</v>
      </c>
      <c r="E33" s="260">
        <v>0.33333333333333331</v>
      </c>
      <c r="F33" s="286"/>
      <c r="G33" s="264">
        <f t="shared" si="0"/>
        <v>0</v>
      </c>
      <c r="H33" s="287">
        <f t="shared" si="1"/>
        <v>0</v>
      </c>
      <c r="I33" s="288"/>
      <c r="J33" s="288"/>
      <c r="K33" s="290"/>
      <c r="L33" s="291"/>
      <c r="M33" s="306"/>
    </row>
    <row r="34" spans="1:13" x14ac:dyDescent="0.35">
      <c r="A34" s="169">
        <v>30</v>
      </c>
      <c r="B34" s="270">
        <v>46209</v>
      </c>
      <c r="C34" s="270">
        <v>46209</v>
      </c>
      <c r="D34" s="261">
        <v>0.20833333333333334</v>
      </c>
      <c r="E34" s="261">
        <v>0.91666666666666663</v>
      </c>
      <c r="F34" s="271"/>
      <c r="G34" s="271">
        <f t="shared" si="0"/>
        <v>0</v>
      </c>
      <c r="H34" s="273"/>
      <c r="I34" s="169"/>
      <c r="J34" s="169"/>
      <c r="K34" s="273"/>
      <c r="L34" s="169"/>
      <c r="M34" s="304" t="s">
        <v>158</v>
      </c>
    </row>
    <row r="35" spans="1:13" x14ac:dyDescent="0.35">
      <c r="A35" s="259">
        <v>31</v>
      </c>
      <c r="B35" s="263">
        <v>46210</v>
      </c>
      <c r="C35" s="263">
        <v>46210</v>
      </c>
      <c r="D35" s="260">
        <v>0.33333333333333331</v>
      </c>
      <c r="E35" s="260">
        <v>0.83333333333333337</v>
      </c>
      <c r="F35" s="286"/>
      <c r="G35" s="264">
        <f t="shared" si="0"/>
        <v>0</v>
      </c>
      <c r="H35" s="287">
        <f t="shared" si="1"/>
        <v>0</v>
      </c>
      <c r="I35" s="288"/>
      <c r="J35" s="288"/>
      <c r="K35" s="290"/>
      <c r="L35" s="291"/>
      <c r="M35" s="306"/>
    </row>
    <row r="36" spans="1:13" x14ac:dyDescent="0.35">
      <c r="A36" s="259">
        <v>32</v>
      </c>
      <c r="B36" s="263">
        <v>46210</v>
      </c>
      <c r="C36" s="263">
        <v>46210</v>
      </c>
      <c r="D36" s="260">
        <v>0.33333333333333331</v>
      </c>
      <c r="E36" s="260">
        <v>0.83333333333333337</v>
      </c>
      <c r="F36" s="286"/>
      <c r="G36" s="264">
        <f t="shared" si="0"/>
        <v>0</v>
      </c>
      <c r="H36" s="287">
        <f t="shared" si="1"/>
        <v>0</v>
      </c>
      <c r="I36" s="288"/>
      <c r="J36" s="288"/>
      <c r="K36" s="290"/>
      <c r="L36" s="291"/>
      <c r="M36" s="306"/>
    </row>
    <row r="37" spans="1:13" x14ac:dyDescent="0.35">
      <c r="A37" s="259">
        <v>33</v>
      </c>
      <c r="B37" s="263">
        <v>46210</v>
      </c>
      <c r="C37" s="263">
        <v>46211</v>
      </c>
      <c r="D37" s="260">
        <v>0.83333333333333337</v>
      </c>
      <c r="E37" s="260">
        <v>0.33333333333333331</v>
      </c>
      <c r="F37" s="286"/>
      <c r="G37" s="264">
        <f t="shared" si="0"/>
        <v>0</v>
      </c>
      <c r="H37" s="287">
        <f t="shared" si="1"/>
        <v>0</v>
      </c>
      <c r="I37" s="288"/>
      <c r="J37" s="288"/>
      <c r="K37" s="290"/>
      <c r="L37" s="291"/>
      <c r="M37" s="306"/>
    </row>
    <row r="38" spans="1:13" x14ac:dyDescent="0.35">
      <c r="A38" s="259">
        <v>34</v>
      </c>
      <c r="B38" s="263">
        <v>46210</v>
      </c>
      <c r="C38" s="263">
        <v>46211</v>
      </c>
      <c r="D38" s="260">
        <v>0.83333333333333337</v>
      </c>
      <c r="E38" s="260">
        <v>0.33333333333333331</v>
      </c>
      <c r="F38" s="286"/>
      <c r="G38" s="264">
        <f t="shared" si="0"/>
        <v>0</v>
      </c>
      <c r="H38" s="287">
        <f t="shared" si="1"/>
        <v>0</v>
      </c>
      <c r="I38" s="288"/>
      <c r="J38" s="288"/>
      <c r="K38" s="290"/>
      <c r="L38" s="291"/>
      <c r="M38" s="306"/>
    </row>
    <row r="39" spans="1:13" x14ac:dyDescent="0.35">
      <c r="A39" s="169">
        <v>35</v>
      </c>
      <c r="B39" s="270">
        <v>46210</v>
      </c>
      <c r="C39" s="270">
        <v>46210</v>
      </c>
      <c r="D39" s="261">
        <v>0.20833333333333334</v>
      </c>
      <c r="E39" s="261">
        <v>0.91666666666666663</v>
      </c>
      <c r="F39" s="271"/>
      <c r="G39" s="271">
        <f t="shared" si="0"/>
        <v>0</v>
      </c>
      <c r="H39" s="273"/>
      <c r="I39" s="169"/>
      <c r="J39" s="169"/>
      <c r="K39" s="273"/>
      <c r="L39" s="169"/>
      <c r="M39" s="304" t="s">
        <v>158</v>
      </c>
    </row>
    <row r="40" spans="1:13" x14ac:dyDescent="0.35">
      <c r="A40" s="259">
        <v>36</v>
      </c>
      <c r="B40" s="263">
        <v>46211</v>
      </c>
      <c r="C40" s="263">
        <v>46211</v>
      </c>
      <c r="D40" s="260">
        <v>0.33333333333333331</v>
      </c>
      <c r="E40" s="260">
        <v>0.83333333333333337</v>
      </c>
      <c r="F40" s="286"/>
      <c r="G40" s="264">
        <f t="shared" si="0"/>
        <v>0</v>
      </c>
      <c r="H40" s="287">
        <f t="shared" si="1"/>
        <v>0</v>
      </c>
      <c r="I40" s="288"/>
      <c r="J40" s="288"/>
      <c r="K40" s="290"/>
      <c r="L40" s="291"/>
      <c r="M40" s="306"/>
    </row>
    <row r="41" spans="1:13" x14ac:dyDescent="0.35">
      <c r="A41" s="259">
        <v>37</v>
      </c>
      <c r="B41" s="263">
        <v>46211</v>
      </c>
      <c r="C41" s="263">
        <v>46211</v>
      </c>
      <c r="D41" s="260">
        <v>0.33333333333333331</v>
      </c>
      <c r="E41" s="260">
        <v>0.83333333333333337</v>
      </c>
      <c r="F41" s="286"/>
      <c r="G41" s="264">
        <f t="shared" si="0"/>
        <v>0</v>
      </c>
      <c r="H41" s="287">
        <f t="shared" si="1"/>
        <v>0</v>
      </c>
      <c r="I41" s="288"/>
      <c r="J41" s="288"/>
      <c r="K41" s="290"/>
      <c r="L41" s="291"/>
      <c r="M41" s="306"/>
    </row>
    <row r="42" spans="1:13" x14ac:dyDescent="0.35">
      <c r="A42" s="259">
        <v>38</v>
      </c>
      <c r="B42" s="263">
        <v>46211</v>
      </c>
      <c r="C42" s="263">
        <v>46212</v>
      </c>
      <c r="D42" s="260">
        <v>0.83333333333333337</v>
      </c>
      <c r="E42" s="260">
        <v>0.33333333333333331</v>
      </c>
      <c r="F42" s="286"/>
      <c r="G42" s="264">
        <f t="shared" si="0"/>
        <v>0</v>
      </c>
      <c r="H42" s="287">
        <f t="shared" si="1"/>
        <v>0</v>
      </c>
      <c r="I42" s="288"/>
      <c r="J42" s="288"/>
      <c r="K42" s="290"/>
      <c r="L42" s="291"/>
      <c r="M42" s="306"/>
    </row>
    <row r="43" spans="1:13" x14ac:dyDescent="0.35">
      <c r="A43" s="259">
        <v>39</v>
      </c>
      <c r="B43" s="263">
        <v>46211</v>
      </c>
      <c r="C43" s="263">
        <v>46212</v>
      </c>
      <c r="D43" s="260">
        <v>0.83333333333333337</v>
      </c>
      <c r="E43" s="260">
        <v>0.33333333333333331</v>
      </c>
      <c r="F43" s="286"/>
      <c r="G43" s="264">
        <f t="shared" si="0"/>
        <v>0</v>
      </c>
      <c r="H43" s="287">
        <f t="shared" si="1"/>
        <v>0</v>
      </c>
      <c r="I43" s="288"/>
      <c r="J43" s="288"/>
      <c r="K43" s="290"/>
      <c r="L43" s="291"/>
      <c r="M43" s="306"/>
    </row>
    <row r="44" spans="1:13" x14ac:dyDescent="0.35">
      <c r="A44" s="169">
        <v>40</v>
      </c>
      <c r="B44" s="270">
        <v>46211</v>
      </c>
      <c r="C44" s="270">
        <v>46211</v>
      </c>
      <c r="D44" s="261">
        <v>0.20833333333333334</v>
      </c>
      <c r="E44" s="261">
        <v>0.91666666666666663</v>
      </c>
      <c r="F44" s="271"/>
      <c r="G44" s="271">
        <f t="shared" si="0"/>
        <v>0</v>
      </c>
      <c r="H44" s="273"/>
      <c r="I44" s="169"/>
      <c r="J44" s="169"/>
      <c r="K44" s="273"/>
      <c r="L44" s="169"/>
      <c r="M44" s="304" t="s">
        <v>158</v>
      </c>
    </row>
    <row r="45" spans="1:13" x14ac:dyDescent="0.35">
      <c r="A45" s="259">
        <v>41</v>
      </c>
      <c r="B45" s="263">
        <v>46212</v>
      </c>
      <c r="C45" s="263">
        <v>46212</v>
      </c>
      <c r="D45" s="260">
        <v>0.33333333333333331</v>
      </c>
      <c r="E45" s="260">
        <v>0.83333333333333337</v>
      </c>
      <c r="F45" s="286"/>
      <c r="G45" s="264">
        <f t="shared" si="0"/>
        <v>0</v>
      </c>
      <c r="H45" s="287">
        <f t="shared" si="1"/>
        <v>0</v>
      </c>
      <c r="I45" s="288"/>
      <c r="J45" s="288"/>
      <c r="K45" s="290"/>
      <c r="L45" s="291"/>
      <c r="M45" s="306"/>
    </row>
    <row r="46" spans="1:13" x14ac:dyDescent="0.35">
      <c r="A46" s="259">
        <v>42</v>
      </c>
      <c r="B46" s="263">
        <v>46212</v>
      </c>
      <c r="C46" s="263">
        <v>46212</v>
      </c>
      <c r="D46" s="260">
        <v>0.33333333333333331</v>
      </c>
      <c r="E46" s="260">
        <v>0.83333333333333337</v>
      </c>
      <c r="F46" s="286"/>
      <c r="G46" s="264">
        <f t="shared" si="0"/>
        <v>0</v>
      </c>
      <c r="H46" s="287">
        <f t="shared" si="1"/>
        <v>0</v>
      </c>
      <c r="I46" s="288"/>
      <c r="J46" s="288"/>
      <c r="K46" s="290"/>
      <c r="L46" s="291"/>
      <c r="M46" s="306"/>
    </row>
    <row r="47" spans="1:13" x14ac:dyDescent="0.35">
      <c r="A47" s="259">
        <v>43</v>
      </c>
      <c r="B47" s="263">
        <v>46212</v>
      </c>
      <c r="C47" s="263">
        <v>46213</v>
      </c>
      <c r="D47" s="260">
        <v>0.83333333333333337</v>
      </c>
      <c r="E47" s="260">
        <v>0.33333333333333331</v>
      </c>
      <c r="F47" s="286"/>
      <c r="G47" s="264">
        <f t="shared" si="0"/>
        <v>0</v>
      </c>
      <c r="H47" s="287">
        <f t="shared" si="1"/>
        <v>0</v>
      </c>
      <c r="I47" s="288"/>
      <c r="J47" s="288"/>
      <c r="K47" s="290"/>
      <c r="L47" s="291"/>
      <c r="M47" s="306"/>
    </row>
    <row r="48" spans="1:13" x14ac:dyDescent="0.35">
      <c r="A48" s="259">
        <v>44</v>
      </c>
      <c r="B48" s="263">
        <v>46212</v>
      </c>
      <c r="C48" s="263">
        <v>46213</v>
      </c>
      <c r="D48" s="260">
        <v>0.83333333333333337</v>
      </c>
      <c r="E48" s="260">
        <v>0.33333333333333331</v>
      </c>
      <c r="F48" s="286"/>
      <c r="G48" s="264">
        <f t="shared" si="0"/>
        <v>0</v>
      </c>
      <c r="H48" s="287">
        <f t="shared" si="1"/>
        <v>0</v>
      </c>
      <c r="I48" s="288"/>
      <c r="J48" s="288"/>
      <c r="K48" s="290"/>
      <c r="L48" s="291"/>
      <c r="M48" s="306"/>
    </row>
    <row r="49" spans="1:13" x14ac:dyDescent="0.35">
      <c r="A49" s="169">
        <v>45</v>
      </c>
      <c r="B49" s="270">
        <v>46212</v>
      </c>
      <c r="C49" s="270">
        <v>46212</v>
      </c>
      <c r="D49" s="261">
        <v>0.20833333333333334</v>
      </c>
      <c r="E49" s="261">
        <v>0.91666666666666663</v>
      </c>
      <c r="F49" s="271"/>
      <c r="G49" s="271">
        <f t="shared" si="0"/>
        <v>0</v>
      </c>
      <c r="H49" s="273"/>
      <c r="I49" s="169"/>
      <c r="J49" s="169"/>
      <c r="K49" s="273"/>
      <c r="L49" s="169"/>
      <c r="M49" s="304" t="s">
        <v>158</v>
      </c>
    </row>
    <row r="50" spans="1:13" x14ac:dyDescent="0.35">
      <c r="A50" s="259">
        <v>46</v>
      </c>
      <c r="B50" s="263">
        <v>46213</v>
      </c>
      <c r="C50" s="263">
        <v>46213</v>
      </c>
      <c r="D50" s="260">
        <v>0.33333333333333331</v>
      </c>
      <c r="E50" s="260">
        <v>0.83333333333333337</v>
      </c>
      <c r="F50" s="286"/>
      <c r="G50" s="264">
        <f t="shared" si="0"/>
        <v>0</v>
      </c>
      <c r="H50" s="287">
        <f t="shared" si="1"/>
        <v>0</v>
      </c>
      <c r="I50" s="288"/>
      <c r="J50" s="288"/>
      <c r="K50" s="290"/>
      <c r="L50" s="291"/>
      <c r="M50" s="306"/>
    </row>
    <row r="51" spans="1:13" x14ac:dyDescent="0.35">
      <c r="A51" s="259">
        <v>47</v>
      </c>
      <c r="B51" s="263">
        <v>46213</v>
      </c>
      <c r="C51" s="263">
        <v>46213</v>
      </c>
      <c r="D51" s="260">
        <v>0.33333333333333331</v>
      </c>
      <c r="E51" s="260">
        <v>0.83333333333333337</v>
      </c>
      <c r="F51" s="286"/>
      <c r="G51" s="264">
        <f t="shared" si="0"/>
        <v>0</v>
      </c>
      <c r="H51" s="287">
        <f t="shared" si="1"/>
        <v>0</v>
      </c>
      <c r="I51" s="288"/>
      <c r="J51" s="288"/>
      <c r="K51" s="290"/>
      <c r="L51" s="291"/>
      <c r="M51" s="306"/>
    </row>
    <row r="52" spans="1:13" x14ac:dyDescent="0.35">
      <c r="A52" s="259">
        <v>48</v>
      </c>
      <c r="B52" s="263">
        <v>46213</v>
      </c>
      <c r="C52" s="263">
        <v>46214</v>
      </c>
      <c r="D52" s="260">
        <v>0.83333333333333337</v>
      </c>
      <c r="E52" s="260">
        <v>0.33333333333333331</v>
      </c>
      <c r="F52" s="286"/>
      <c r="G52" s="264">
        <f t="shared" si="0"/>
        <v>0</v>
      </c>
      <c r="H52" s="287">
        <f t="shared" si="1"/>
        <v>0</v>
      </c>
      <c r="I52" s="288"/>
      <c r="J52" s="288"/>
      <c r="K52" s="290"/>
      <c r="L52" s="291"/>
      <c r="M52" s="306"/>
    </row>
    <row r="53" spans="1:13" x14ac:dyDescent="0.35">
      <c r="A53" s="259">
        <v>49</v>
      </c>
      <c r="B53" s="263">
        <v>46213</v>
      </c>
      <c r="C53" s="263">
        <v>46214</v>
      </c>
      <c r="D53" s="260">
        <v>0.83333333333333337</v>
      </c>
      <c r="E53" s="260">
        <v>0.33333333333333331</v>
      </c>
      <c r="F53" s="286"/>
      <c r="G53" s="264">
        <f t="shared" si="0"/>
        <v>0</v>
      </c>
      <c r="H53" s="287">
        <f t="shared" si="1"/>
        <v>0</v>
      </c>
      <c r="I53" s="288"/>
      <c r="J53" s="288"/>
      <c r="K53" s="290"/>
      <c r="L53" s="291"/>
      <c r="M53" s="306"/>
    </row>
    <row r="54" spans="1:13" x14ac:dyDescent="0.35">
      <c r="A54" s="169">
        <v>50</v>
      </c>
      <c r="B54" s="270">
        <v>46213</v>
      </c>
      <c r="C54" s="270">
        <v>46213</v>
      </c>
      <c r="D54" s="261">
        <v>0.20833333333333334</v>
      </c>
      <c r="E54" s="261">
        <v>0.91666666666666663</v>
      </c>
      <c r="F54" s="271"/>
      <c r="G54" s="271">
        <f t="shared" si="0"/>
        <v>0</v>
      </c>
      <c r="H54" s="273"/>
      <c r="I54" s="169"/>
      <c r="J54" s="169"/>
      <c r="K54" s="273"/>
      <c r="L54" s="169"/>
      <c r="M54" s="304" t="s">
        <v>158</v>
      </c>
    </row>
    <row r="55" spans="1:13" x14ac:dyDescent="0.35">
      <c r="A55" s="259">
        <v>51</v>
      </c>
      <c r="B55" s="263">
        <v>46214</v>
      </c>
      <c r="C55" s="263">
        <v>46214</v>
      </c>
      <c r="D55" s="260">
        <v>0.33333333333333331</v>
      </c>
      <c r="E55" s="260">
        <v>0.83333333333333337</v>
      </c>
      <c r="F55" s="286"/>
      <c r="G55" s="264">
        <f t="shared" si="0"/>
        <v>0</v>
      </c>
      <c r="H55" s="287">
        <f t="shared" si="1"/>
        <v>0</v>
      </c>
      <c r="I55" s="288"/>
      <c r="J55" s="288"/>
      <c r="K55" s="290"/>
      <c r="L55" s="291"/>
      <c r="M55" s="306"/>
    </row>
    <row r="56" spans="1:13" x14ac:dyDescent="0.35">
      <c r="A56" s="259">
        <v>52</v>
      </c>
      <c r="B56" s="263">
        <v>46214</v>
      </c>
      <c r="C56" s="263">
        <v>46214</v>
      </c>
      <c r="D56" s="260">
        <v>0.33333333333333331</v>
      </c>
      <c r="E56" s="260">
        <v>0.83333333333333337</v>
      </c>
      <c r="F56" s="286"/>
      <c r="G56" s="264">
        <f t="shared" si="0"/>
        <v>0</v>
      </c>
      <c r="H56" s="287">
        <f t="shared" si="1"/>
        <v>0</v>
      </c>
      <c r="I56" s="288"/>
      <c r="J56" s="288"/>
      <c r="K56" s="290"/>
      <c r="L56" s="291"/>
      <c r="M56" s="306"/>
    </row>
    <row r="57" spans="1:13" x14ac:dyDescent="0.35">
      <c r="A57" s="259">
        <v>53</v>
      </c>
      <c r="B57" s="263">
        <v>46214</v>
      </c>
      <c r="C57" s="263">
        <v>46215</v>
      </c>
      <c r="D57" s="260">
        <v>0.83333333333333337</v>
      </c>
      <c r="E57" s="260">
        <v>0.33333333333333331</v>
      </c>
      <c r="F57" s="286"/>
      <c r="G57" s="264">
        <f t="shared" si="0"/>
        <v>0</v>
      </c>
      <c r="H57" s="287">
        <f t="shared" si="1"/>
        <v>0</v>
      </c>
      <c r="I57" s="288"/>
      <c r="J57" s="288"/>
      <c r="K57" s="290"/>
      <c r="L57" s="291"/>
      <c r="M57" s="306"/>
    </row>
    <row r="58" spans="1:13" x14ac:dyDescent="0.35">
      <c r="A58" s="259">
        <v>54</v>
      </c>
      <c r="B58" s="263">
        <v>46214</v>
      </c>
      <c r="C58" s="263">
        <v>46215</v>
      </c>
      <c r="D58" s="260">
        <v>0.83333333333333337</v>
      </c>
      <c r="E58" s="260">
        <v>0.33333333333333331</v>
      </c>
      <c r="F58" s="286"/>
      <c r="G58" s="264">
        <f t="shared" si="0"/>
        <v>0</v>
      </c>
      <c r="H58" s="287">
        <f t="shared" si="1"/>
        <v>0</v>
      </c>
      <c r="I58" s="288"/>
      <c r="J58" s="288"/>
      <c r="K58" s="290"/>
      <c r="L58" s="291"/>
      <c r="M58" s="306"/>
    </row>
    <row r="59" spans="1:13" x14ac:dyDescent="0.35">
      <c r="A59" s="169">
        <v>55</v>
      </c>
      <c r="B59" s="270">
        <v>46214</v>
      </c>
      <c r="C59" s="270">
        <v>46214</v>
      </c>
      <c r="D59" s="261">
        <v>0.20833333333333334</v>
      </c>
      <c r="E59" s="261">
        <v>0.91666666666666663</v>
      </c>
      <c r="F59" s="271"/>
      <c r="G59" s="271">
        <f t="shared" si="0"/>
        <v>0</v>
      </c>
      <c r="H59" s="273"/>
      <c r="I59" s="169"/>
      <c r="J59" s="169"/>
      <c r="K59" s="273"/>
      <c r="L59" s="169"/>
      <c r="M59" s="304" t="s">
        <v>158</v>
      </c>
    </row>
    <row r="60" spans="1:13" x14ac:dyDescent="0.35">
      <c r="A60" s="259">
        <v>56</v>
      </c>
      <c r="B60" s="263">
        <v>46215</v>
      </c>
      <c r="C60" s="263">
        <v>46215</v>
      </c>
      <c r="D60" s="260">
        <v>0.33333333333333331</v>
      </c>
      <c r="E60" s="260">
        <v>0.83333333333333337</v>
      </c>
      <c r="F60" s="286"/>
      <c r="G60" s="264">
        <f t="shared" si="0"/>
        <v>0</v>
      </c>
      <c r="H60" s="287">
        <f t="shared" si="1"/>
        <v>0</v>
      </c>
      <c r="I60" s="288"/>
      <c r="J60" s="288"/>
      <c r="K60" s="290"/>
      <c r="L60" s="291"/>
      <c r="M60" s="306"/>
    </row>
    <row r="61" spans="1:13" x14ac:dyDescent="0.35">
      <c r="A61" s="259">
        <v>57</v>
      </c>
      <c r="B61" s="263">
        <v>46215</v>
      </c>
      <c r="C61" s="263">
        <v>46215</v>
      </c>
      <c r="D61" s="260">
        <v>0.33333333333333331</v>
      </c>
      <c r="E61" s="260">
        <v>0.83333333333333337</v>
      </c>
      <c r="F61" s="286"/>
      <c r="G61" s="264">
        <f t="shared" si="0"/>
        <v>0</v>
      </c>
      <c r="H61" s="287">
        <f t="shared" si="1"/>
        <v>0</v>
      </c>
      <c r="I61" s="288"/>
      <c r="J61" s="288"/>
      <c r="K61" s="290"/>
      <c r="L61" s="291"/>
      <c r="M61" s="306"/>
    </row>
    <row r="62" spans="1:13" x14ac:dyDescent="0.35">
      <c r="A62" s="259">
        <v>58</v>
      </c>
      <c r="B62" s="263">
        <v>46215</v>
      </c>
      <c r="C62" s="263">
        <v>46216</v>
      </c>
      <c r="D62" s="260">
        <v>0.83333333333333337</v>
      </c>
      <c r="E62" s="260">
        <v>0.33333333333333331</v>
      </c>
      <c r="F62" s="286"/>
      <c r="G62" s="264">
        <f t="shared" si="0"/>
        <v>0</v>
      </c>
      <c r="H62" s="287">
        <f t="shared" si="1"/>
        <v>0</v>
      </c>
      <c r="I62" s="288"/>
      <c r="J62" s="288"/>
      <c r="K62" s="290"/>
      <c r="L62" s="291"/>
      <c r="M62" s="306"/>
    </row>
    <row r="63" spans="1:13" x14ac:dyDescent="0.35">
      <c r="A63" s="259">
        <v>59</v>
      </c>
      <c r="B63" s="263">
        <v>46215</v>
      </c>
      <c r="C63" s="263">
        <v>46216</v>
      </c>
      <c r="D63" s="260">
        <v>0.83333333333333337</v>
      </c>
      <c r="E63" s="260">
        <v>0.33333333333333331</v>
      </c>
      <c r="F63" s="286"/>
      <c r="G63" s="264">
        <f t="shared" si="0"/>
        <v>0</v>
      </c>
      <c r="H63" s="287">
        <f t="shared" si="1"/>
        <v>0</v>
      </c>
      <c r="I63" s="288"/>
      <c r="J63" s="288"/>
      <c r="K63" s="290"/>
      <c r="L63" s="291"/>
      <c r="M63" s="306"/>
    </row>
    <row r="64" spans="1:13" x14ac:dyDescent="0.35">
      <c r="A64" s="169">
        <v>60</v>
      </c>
      <c r="B64" s="270">
        <v>46215</v>
      </c>
      <c r="C64" s="270">
        <v>46215</v>
      </c>
      <c r="D64" s="261">
        <v>0.20833333333333334</v>
      </c>
      <c r="E64" s="261">
        <v>0.91666666666666663</v>
      </c>
      <c r="F64" s="271"/>
      <c r="G64" s="271">
        <f t="shared" ref="G64" si="2">SUM(F64)</f>
        <v>0</v>
      </c>
      <c r="H64" s="273"/>
      <c r="I64" s="169"/>
      <c r="J64" s="169"/>
      <c r="K64" s="273"/>
      <c r="L64" s="169"/>
      <c r="M64" s="304" t="s">
        <v>158</v>
      </c>
    </row>
    <row r="65" spans="1:13" x14ac:dyDescent="0.35">
      <c r="A65" s="259">
        <v>61</v>
      </c>
      <c r="B65" s="263">
        <v>46216</v>
      </c>
      <c r="C65" s="263">
        <v>46216</v>
      </c>
      <c r="D65" s="260">
        <v>0.33333333333333331</v>
      </c>
      <c r="E65" s="260">
        <v>0.83333333333333337</v>
      </c>
      <c r="F65" s="286"/>
      <c r="G65" s="264">
        <f t="shared" si="0"/>
        <v>0</v>
      </c>
      <c r="H65" s="287">
        <f t="shared" si="1"/>
        <v>0</v>
      </c>
      <c r="I65" s="288"/>
      <c r="J65" s="288"/>
      <c r="K65" s="290"/>
      <c r="L65" s="291"/>
      <c r="M65" s="306"/>
    </row>
    <row r="66" spans="1:13" x14ac:dyDescent="0.35">
      <c r="A66" s="259">
        <v>62</v>
      </c>
      <c r="B66" s="263">
        <v>46216</v>
      </c>
      <c r="C66" s="263">
        <v>46216</v>
      </c>
      <c r="D66" s="260">
        <v>0.33333333333333331</v>
      </c>
      <c r="E66" s="260">
        <v>0.83333333333333337</v>
      </c>
      <c r="F66" s="286"/>
      <c r="G66" s="264">
        <f t="shared" si="0"/>
        <v>0</v>
      </c>
      <c r="H66" s="287">
        <f t="shared" si="1"/>
        <v>0</v>
      </c>
      <c r="I66" s="288"/>
      <c r="J66" s="288"/>
      <c r="K66" s="290"/>
      <c r="L66" s="291"/>
      <c r="M66" s="306"/>
    </row>
    <row r="67" spans="1:13" x14ac:dyDescent="0.35">
      <c r="A67" s="259">
        <v>63</v>
      </c>
      <c r="B67" s="263">
        <v>46216</v>
      </c>
      <c r="C67" s="263">
        <v>46217</v>
      </c>
      <c r="D67" s="260">
        <v>0.83333333333333337</v>
      </c>
      <c r="E67" s="260">
        <v>0.33333333333333331</v>
      </c>
      <c r="F67" s="286"/>
      <c r="G67" s="264">
        <f t="shared" si="0"/>
        <v>0</v>
      </c>
      <c r="H67" s="287">
        <f t="shared" si="1"/>
        <v>0</v>
      </c>
      <c r="I67" s="288"/>
      <c r="J67" s="288"/>
      <c r="K67" s="290"/>
      <c r="L67" s="291"/>
      <c r="M67" s="306"/>
    </row>
    <row r="68" spans="1:13" x14ac:dyDescent="0.35">
      <c r="A68" s="259">
        <v>64</v>
      </c>
      <c r="B68" s="263">
        <v>46216</v>
      </c>
      <c r="C68" s="263">
        <v>46217</v>
      </c>
      <c r="D68" s="260">
        <v>0.83333333333333337</v>
      </c>
      <c r="E68" s="260">
        <v>0.33333333333333331</v>
      </c>
      <c r="F68" s="286"/>
      <c r="G68" s="264">
        <f t="shared" si="0"/>
        <v>0</v>
      </c>
      <c r="H68" s="287">
        <f t="shared" si="1"/>
        <v>0</v>
      </c>
      <c r="I68" s="288"/>
      <c r="J68" s="288"/>
      <c r="K68" s="290"/>
      <c r="L68" s="291"/>
      <c r="M68" s="306"/>
    </row>
    <row r="69" spans="1:13" x14ac:dyDescent="0.35">
      <c r="A69" s="169">
        <v>65</v>
      </c>
      <c r="B69" s="270">
        <v>46216</v>
      </c>
      <c r="C69" s="270">
        <v>46216</v>
      </c>
      <c r="D69" s="261">
        <v>0.20833333333333334</v>
      </c>
      <c r="E69" s="261">
        <v>0.91666666666666663</v>
      </c>
      <c r="F69" s="271"/>
      <c r="G69" s="271">
        <f t="shared" ref="G69" si="3">SUM(F69)</f>
        <v>0</v>
      </c>
      <c r="H69" s="273"/>
      <c r="I69" s="169"/>
      <c r="J69" s="169"/>
      <c r="K69" s="273"/>
      <c r="L69" s="169"/>
      <c r="M69" s="304" t="s">
        <v>158</v>
      </c>
    </row>
    <row r="70" spans="1:13" x14ac:dyDescent="0.35">
      <c r="A70" s="259">
        <v>66</v>
      </c>
      <c r="B70" s="263">
        <v>46217</v>
      </c>
      <c r="C70" s="263">
        <v>46217</v>
      </c>
      <c r="D70" s="260">
        <v>0.33333333333333331</v>
      </c>
      <c r="E70" s="260">
        <v>0.83333333333333337</v>
      </c>
      <c r="F70" s="286"/>
      <c r="G70" s="264">
        <f t="shared" si="0"/>
        <v>0</v>
      </c>
      <c r="H70" s="287">
        <f t="shared" si="1"/>
        <v>0</v>
      </c>
      <c r="I70" s="288"/>
      <c r="J70" s="288"/>
      <c r="K70" s="290"/>
      <c r="L70" s="291"/>
      <c r="M70" s="306"/>
    </row>
    <row r="71" spans="1:13" x14ac:dyDescent="0.35">
      <c r="A71" s="259">
        <v>67</v>
      </c>
      <c r="B71" s="263">
        <v>46217</v>
      </c>
      <c r="C71" s="263">
        <v>46217</v>
      </c>
      <c r="D71" s="260">
        <v>0.33333333333333331</v>
      </c>
      <c r="E71" s="260">
        <v>0.83333333333333337</v>
      </c>
      <c r="F71" s="286"/>
      <c r="G71" s="264">
        <f t="shared" si="0"/>
        <v>0</v>
      </c>
      <c r="H71" s="287">
        <f t="shared" si="1"/>
        <v>0</v>
      </c>
      <c r="I71" s="288"/>
      <c r="J71" s="288"/>
      <c r="K71" s="290"/>
      <c r="L71" s="291"/>
      <c r="M71" s="306"/>
    </row>
    <row r="72" spans="1:13" x14ac:dyDescent="0.35">
      <c r="A72" s="259">
        <v>68</v>
      </c>
      <c r="B72" s="263">
        <v>46217</v>
      </c>
      <c r="C72" s="263">
        <v>46218</v>
      </c>
      <c r="D72" s="260">
        <v>0.83333333333333337</v>
      </c>
      <c r="E72" s="260">
        <v>0.33333333333333331</v>
      </c>
      <c r="F72" s="286"/>
      <c r="G72" s="264">
        <f t="shared" ref="G72:G136" si="4">SUM(F72)</f>
        <v>0</v>
      </c>
      <c r="H72" s="287">
        <f t="shared" ref="H72:H98" si="5">F72-G72</f>
        <v>0</v>
      </c>
      <c r="I72" s="288"/>
      <c r="J72" s="288"/>
      <c r="K72" s="290"/>
      <c r="L72" s="291"/>
      <c r="M72" s="306"/>
    </row>
    <row r="73" spans="1:13" x14ac:dyDescent="0.35">
      <c r="A73" s="259">
        <v>69</v>
      </c>
      <c r="B73" s="263">
        <v>46217</v>
      </c>
      <c r="C73" s="263">
        <v>46218</v>
      </c>
      <c r="D73" s="260">
        <v>0.83333333333333337</v>
      </c>
      <c r="E73" s="260">
        <v>0.33333333333333331</v>
      </c>
      <c r="F73" s="286"/>
      <c r="G73" s="264">
        <f t="shared" si="4"/>
        <v>0</v>
      </c>
      <c r="H73" s="287">
        <f t="shared" si="5"/>
        <v>0</v>
      </c>
      <c r="I73" s="288"/>
      <c r="J73" s="288"/>
      <c r="K73" s="290"/>
      <c r="L73" s="291"/>
      <c r="M73" s="306"/>
    </row>
    <row r="74" spans="1:13" x14ac:dyDescent="0.35">
      <c r="A74" s="169">
        <v>70</v>
      </c>
      <c r="B74" s="270">
        <v>46217</v>
      </c>
      <c r="C74" s="270">
        <v>46217</v>
      </c>
      <c r="D74" s="261">
        <v>0.20833333333333334</v>
      </c>
      <c r="E74" s="261">
        <v>0.91666666666666663</v>
      </c>
      <c r="F74" s="271"/>
      <c r="G74" s="271">
        <f t="shared" ref="G74" si="6">SUM(F74)</f>
        <v>0</v>
      </c>
      <c r="H74" s="273"/>
      <c r="I74" s="169"/>
      <c r="J74" s="169"/>
      <c r="K74" s="273"/>
      <c r="L74" s="169"/>
      <c r="M74" s="304" t="s">
        <v>158</v>
      </c>
    </row>
    <row r="75" spans="1:13" x14ac:dyDescent="0.35">
      <c r="A75" s="259">
        <v>71</v>
      </c>
      <c r="B75" s="263">
        <v>46218</v>
      </c>
      <c r="C75" s="263">
        <v>46218</v>
      </c>
      <c r="D75" s="260">
        <v>0.33333333333333331</v>
      </c>
      <c r="E75" s="260">
        <v>0.83333333333333337</v>
      </c>
      <c r="F75" s="286"/>
      <c r="G75" s="264">
        <f t="shared" si="4"/>
        <v>0</v>
      </c>
      <c r="H75" s="287">
        <f t="shared" si="5"/>
        <v>0</v>
      </c>
      <c r="I75" s="288"/>
      <c r="J75" s="288"/>
      <c r="K75" s="290"/>
      <c r="L75" s="291"/>
      <c r="M75" s="306"/>
    </row>
    <row r="76" spans="1:13" x14ac:dyDescent="0.35">
      <c r="A76" s="259">
        <v>72</v>
      </c>
      <c r="B76" s="263">
        <v>46218</v>
      </c>
      <c r="C76" s="263">
        <v>46218</v>
      </c>
      <c r="D76" s="260">
        <v>0.33333333333333331</v>
      </c>
      <c r="E76" s="260">
        <v>0.83333333333333337</v>
      </c>
      <c r="F76" s="286"/>
      <c r="G76" s="264">
        <f t="shared" si="4"/>
        <v>0</v>
      </c>
      <c r="H76" s="287">
        <f t="shared" si="5"/>
        <v>0</v>
      </c>
      <c r="I76" s="288"/>
      <c r="J76" s="288"/>
      <c r="K76" s="290"/>
      <c r="L76" s="291"/>
      <c r="M76" s="306"/>
    </row>
    <row r="77" spans="1:13" x14ac:dyDescent="0.35">
      <c r="A77" s="259">
        <v>73</v>
      </c>
      <c r="B77" s="263">
        <v>46218</v>
      </c>
      <c r="C77" s="263">
        <v>46219</v>
      </c>
      <c r="D77" s="260">
        <v>0.83333333333333337</v>
      </c>
      <c r="E77" s="260">
        <v>0.33333333333333331</v>
      </c>
      <c r="F77" s="286"/>
      <c r="G77" s="264">
        <f t="shared" si="4"/>
        <v>0</v>
      </c>
      <c r="H77" s="287">
        <f t="shared" si="5"/>
        <v>0</v>
      </c>
      <c r="I77" s="288"/>
      <c r="J77" s="288"/>
      <c r="K77" s="290"/>
      <c r="L77" s="291"/>
      <c r="M77" s="306"/>
    </row>
    <row r="78" spans="1:13" x14ac:dyDescent="0.35">
      <c r="A78" s="259">
        <v>74</v>
      </c>
      <c r="B78" s="263">
        <v>46218</v>
      </c>
      <c r="C78" s="263">
        <v>46219</v>
      </c>
      <c r="D78" s="260">
        <v>0.83333333333333337</v>
      </c>
      <c r="E78" s="260">
        <v>0.33333333333333331</v>
      </c>
      <c r="F78" s="286"/>
      <c r="G78" s="264">
        <f t="shared" si="4"/>
        <v>0</v>
      </c>
      <c r="H78" s="287">
        <f t="shared" si="5"/>
        <v>0</v>
      </c>
      <c r="I78" s="288"/>
      <c r="J78" s="288"/>
      <c r="K78" s="290"/>
      <c r="L78" s="291"/>
      <c r="M78" s="306"/>
    </row>
    <row r="79" spans="1:13" x14ac:dyDescent="0.35">
      <c r="A79" s="169">
        <v>75</v>
      </c>
      <c r="B79" s="270">
        <v>46218</v>
      </c>
      <c r="C79" s="270">
        <v>46218</v>
      </c>
      <c r="D79" s="261">
        <v>0.20833333333333334</v>
      </c>
      <c r="E79" s="261">
        <v>0.91666666666666663</v>
      </c>
      <c r="F79" s="271"/>
      <c r="G79" s="271">
        <f t="shared" ref="G79" si="7">SUM(F79)</f>
        <v>0</v>
      </c>
      <c r="H79" s="273"/>
      <c r="I79" s="169"/>
      <c r="J79" s="169"/>
      <c r="K79" s="273"/>
      <c r="L79" s="169"/>
      <c r="M79" s="304" t="s">
        <v>158</v>
      </c>
    </row>
    <row r="80" spans="1:13" x14ac:dyDescent="0.35">
      <c r="A80" s="259">
        <v>76</v>
      </c>
      <c r="B80" s="263">
        <v>46219</v>
      </c>
      <c r="C80" s="263">
        <v>46219</v>
      </c>
      <c r="D80" s="260">
        <v>0.33333333333333331</v>
      </c>
      <c r="E80" s="260">
        <v>0.83333333333333337</v>
      </c>
      <c r="F80" s="286"/>
      <c r="G80" s="264">
        <f t="shared" si="4"/>
        <v>0</v>
      </c>
      <c r="H80" s="287">
        <f t="shared" si="5"/>
        <v>0</v>
      </c>
      <c r="I80" s="288"/>
      <c r="J80" s="288"/>
      <c r="K80" s="290"/>
      <c r="L80" s="291"/>
      <c r="M80" s="306"/>
    </row>
    <row r="81" spans="1:13" x14ac:dyDescent="0.35">
      <c r="A81" s="259">
        <v>77</v>
      </c>
      <c r="B81" s="263">
        <v>46219</v>
      </c>
      <c r="C81" s="263">
        <v>46219</v>
      </c>
      <c r="D81" s="260">
        <v>0.33333333333333331</v>
      </c>
      <c r="E81" s="260">
        <v>0.83333333333333337</v>
      </c>
      <c r="F81" s="286"/>
      <c r="G81" s="264">
        <f t="shared" si="4"/>
        <v>0</v>
      </c>
      <c r="H81" s="287">
        <f t="shared" si="5"/>
        <v>0</v>
      </c>
      <c r="I81" s="288"/>
      <c r="J81" s="288"/>
      <c r="K81" s="290"/>
      <c r="L81" s="291"/>
      <c r="M81" s="306"/>
    </row>
    <row r="82" spans="1:13" x14ac:dyDescent="0.35">
      <c r="A82" s="259">
        <v>78</v>
      </c>
      <c r="B82" s="263">
        <v>46219</v>
      </c>
      <c r="C82" s="263">
        <v>46220</v>
      </c>
      <c r="D82" s="260">
        <v>0.83333333333333337</v>
      </c>
      <c r="E82" s="260">
        <v>0.33333333333333331</v>
      </c>
      <c r="F82" s="286"/>
      <c r="G82" s="264">
        <f t="shared" si="4"/>
        <v>0</v>
      </c>
      <c r="H82" s="287">
        <f t="shared" si="5"/>
        <v>0</v>
      </c>
      <c r="I82" s="288"/>
      <c r="J82" s="288"/>
      <c r="K82" s="290"/>
      <c r="L82" s="291"/>
      <c r="M82" s="306"/>
    </row>
    <row r="83" spans="1:13" x14ac:dyDescent="0.35">
      <c r="A83" s="259">
        <v>79</v>
      </c>
      <c r="B83" s="263">
        <v>46219</v>
      </c>
      <c r="C83" s="263">
        <v>46220</v>
      </c>
      <c r="D83" s="260">
        <v>0.83333333333333337</v>
      </c>
      <c r="E83" s="260">
        <v>0.33333333333333331</v>
      </c>
      <c r="F83" s="286"/>
      <c r="G83" s="264">
        <f t="shared" si="4"/>
        <v>0</v>
      </c>
      <c r="H83" s="287">
        <f t="shared" si="5"/>
        <v>0</v>
      </c>
      <c r="I83" s="288"/>
      <c r="J83" s="288"/>
      <c r="K83" s="290"/>
      <c r="L83" s="291"/>
      <c r="M83" s="306"/>
    </row>
    <row r="84" spans="1:13" x14ac:dyDescent="0.35">
      <c r="A84" s="169">
        <v>80</v>
      </c>
      <c r="B84" s="270">
        <v>46219</v>
      </c>
      <c r="C84" s="270">
        <v>46219</v>
      </c>
      <c r="D84" s="261">
        <v>0.20833333333333334</v>
      </c>
      <c r="E84" s="261">
        <v>0.91666666666666663</v>
      </c>
      <c r="F84" s="271"/>
      <c r="G84" s="271">
        <f t="shared" ref="G84" si="8">SUM(F84)</f>
        <v>0</v>
      </c>
      <c r="H84" s="273"/>
      <c r="I84" s="169"/>
      <c r="J84" s="169"/>
      <c r="K84" s="273"/>
      <c r="L84" s="169"/>
      <c r="M84" s="304" t="s">
        <v>158</v>
      </c>
    </row>
    <row r="85" spans="1:13" x14ac:dyDescent="0.35">
      <c r="A85" s="259">
        <v>81</v>
      </c>
      <c r="B85" s="263">
        <v>46220</v>
      </c>
      <c r="C85" s="263">
        <v>46220</v>
      </c>
      <c r="D85" s="260">
        <v>0.33333333333333331</v>
      </c>
      <c r="E85" s="260">
        <v>0.83333333333333337</v>
      </c>
      <c r="F85" s="286"/>
      <c r="G85" s="264">
        <f t="shared" si="4"/>
        <v>0</v>
      </c>
      <c r="H85" s="287">
        <f t="shared" si="5"/>
        <v>0</v>
      </c>
      <c r="I85" s="288"/>
      <c r="J85" s="288"/>
      <c r="K85" s="290"/>
      <c r="L85" s="291"/>
      <c r="M85" s="306"/>
    </row>
    <row r="86" spans="1:13" x14ac:dyDescent="0.35">
      <c r="A86" s="259">
        <v>82</v>
      </c>
      <c r="B86" s="263">
        <v>46220</v>
      </c>
      <c r="C86" s="263">
        <v>46220</v>
      </c>
      <c r="D86" s="260">
        <v>0.33333333333333331</v>
      </c>
      <c r="E86" s="260">
        <v>0.83333333333333337</v>
      </c>
      <c r="F86" s="286"/>
      <c r="G86" s="264">
        <f t="shared" si="4"/>
        <v>0</v>
      </c>
      <c r="H86" s="287">
        <f t="shared" si="5"/>
        <v>0</v>
      </c>
      <c r="I86" s="288"/>
      <c r="J86" s="288"/>
      <c r="K86" s="290"/>
      <c r="L86" s="291"/>
      <c r="M86" s="306"/>
    </row>
    <row r="87" spans="1:13" x14ac:dyDescent="0.35">
      <c r="A87" s="259">
        <v>83</v>
      </c>
      <c r="B87" s="263">
        <v>46220</v>
      </c>
      <c r="C87" s="263">
        <v>46221</v>
      </c>
      <c r="D87" s="260">
        <v>0.83333333333333337</v>
      </c>
      <c r="E87" s="260">
        <v>0.33333333333333331</v>
      </c>
      <c r="F87" s="286"/>
      <c r="G87" s="264">
        <f t="shared" si="4"/>
        <v>0</v>
      </c>
      <c r="H87" s="287">
        <f t="shared" si="5"/>
        <v>0</v>
      </c>
      <c r="I87" s="288"/>
      <c r="J87" s="288"/>
      <c r="K87" s="290"/>
      <c r="L87" s="291"/>
      <c r="M87" s="306"/>
    </row>
    <row r="88" spans="1:13" x14ac:dyDescent="0.35">
      <c r="A88" s="259">
        <v>84</v>
      </c>
      <c r="B88" s="263">
        <v>46220</v>
      </c>
      <c r="C88" s="263">
        <v>46221</v>
      </c>
      <c r="D88" s="260">
        <v>0.83333333333333337</v>
      </c>
      <c r="E88" s="260">
        <v>0.33333333333333331</v>
      </c>
      <c r="F88" s="286"/>
      <c r="G88" s="264">
        <f t="shared" si="4"/>
        <v>0</v>
      </c>
      <c r="H88" s="287">
        <f t="shared" si="5"/>
        <v>0</v>
      </c>
      <c r="I88" s="288"/>
      <c r="J88" s="288"/>
      <c r="K88" s="290"/>
      <c r="L88" s="291"/>
      <c r="M88" s="306"/>
    </row>
    <row r="89" spans="1:13" x14ac:dyDescent="0.35">
      <c r="A89" s="169">
        <v>85</v>
      </c>
      <c r="B89" s="270">
        <v>46220</v>
      </c>
      <c r="C89" s="270">
        <v>46220</v>
      </c>
      <c r="D89" s="261">
        <v>0.20833333333333334</v>
      </c>
      <c r="E89" s="261">
        <v>0.91666666666666663</v>
      </c>
      <c r="F89" s="271"/>
      <c r="G89" s="271">
        <f t="shared" ref="G89" si="9">SUM(F89)</f>
        <v>0</v>
      </c>
      <c r="H89" s="273"/>
      <c r="I89" s="169"/>
      <c r="J89" s="169"/>
      <c r="K89" s="273"/>
      <c r="L89" s="169"/>
      <c r="M89" s="304" t="s">
        <v>158</v>
      </c>
    </row>
    <row r="90" spans="1:13" x14ac:dyDescent="0.35">
      <c r="A90" s="259">
        <v>86</v>
      </c>
      <c r="B90" s="263">
        <v>46221</v>
      </c>
      <c r="C90" s="263">
        <v>46221</v>
      </c>
      <c r="D90" s="260">
        <v>0.33333333333333331</v>
      </c>
      <c r="E90" s="260">
        <v>0.83333333333333337</v>
      </c>
      <c r="F90" s="286"/>
      <c r="G90" s="264">
        <f t="shared" si="4"/>
        <v>0</v>
      </c>
      <c r="H90" s="287">
        <f t="shared" si="5"/>
        <v>0</v>
      </c>
      <c r="I90" s="288"/>
      <c r="J90" s="288"/>
      <c r="K90" s="290"/>
      <c r="L90" s="291"/>
      <c r="M90" s="306"/>
    </row>
    <row r="91" spans="1:13" x14ac:dyDescent="0.35">
      <c r="A91" s="259">
        <v>87</v>
      </c>
      <c r="B91" s="263">
        <v>46221</v>
      </c>
      <c r="C91" s="263">
        <v>46221</v>
      </c>
      <c r="D91" s="260">
        <v>0.33333333333333331</v>
      </c>
      <c r="E91" s="260">
        <v>0.83333333333333337</v>
      </c>
      <c r="F91" s="286"/>
      <c r="G91" s="264">
        <f t="shared" si="4"/>
        <v>0</v>
      </c>
      <c r="H91" s="287">
        <f t="shared" si="5"/>
        <v>0</v>
      </c>
      <c r="I91" s="288"/>
      <c r="J91" s="288"/>
      <c r="K91" s="290"/>
      <c r="L91" s="291"/>
      <c r="M91" s="306"/>
    </row>
    <row r="92" spans="1:13" x14ac:dyDescent="0.35">
      <c r="A92" s="259">
        <v>88</v>
      </c>
      <c r="B92" s="263">
        <v>46221</v>
      </c>
      <c r="C92" s="263">
        <v>46222</v>
      </c>
      <c r="D92" s="260">
        <v>0.83333333333333337</v>
      </c>
      <c r="E92" s="260">
        <v>0.33333333333333331</v>
      </c>
      <c r="F92" s="286"/>
      <c r="G92" s="264">
        <f t="shared" si="4"/>
        <v>0</v>
      </c>
      <c r="H92" s="287">
        <f t="shared" si="5"/>
        <v>0</v>
      </c>
      <c r="I92" s="288"/>
      <c r="J92" s="288"/>
      <c r="K92" s="290"/>
      <c r="L92" s="291"/>
      <c r="M92" s="306"/>
    </row>
    <row r="93" spans="1:13" x14ac:dyDescent="0.35">
      <c r="A93" s="259">
        <v>89</v>
      </c>
      <c r="B93" s="263">
        <v>46221</v>
      </c>
      <c r="C93" s="263">
        <v>46222</v>
      </c>
      <c r="D93" s="260">
        <v>0.83333333333333337</v>
      </c>
      <c r="E93" s="260">
        <v>0.33333333333333331</v>
      </c>
      <c r="F93" s="286"/>
      <c r="G93" s="264">
        <f t="shared" si="4"/>
        <v>0</v>
      </c>
      <c r="H93" s="287">
        <f t="shared" si="5"/>
        <v>0</v>
      </c>
      <c r="I93" s="288"/>
      <c r="J93" s="288"/>
      <c r="K93" s="290"/>
      <c r="L93" s="291"/>
      <c r="M93" s="306"/>
    </row>
    <row r="94" spans="1:13" x14ac:dyDescent="0.35">
      <c r="A94" s="169">
        <v>90</v>
      </c>
      <c r="B94" s="270">
        <v>46221</v>
      </c>
      <c r="C94" s="270">
        <v>46221</v>
      </c>
      <c r="D94" s="261">
        <v>0.20833333333333334</v>
      </c>
      <c r="E94" s="261">
        <v>0.91666666666666663</v>
      </c>
      <c r="F94" s="271"/>
      <c r="G94" s="271">
        <f t="shared" ref="G94" si="10">SUM(F94)</f>
        <v>0</v>
      </c>
      <c r="H94" s="273"/>
      <c r="I94" s="169"/>
      <c r="J94" s="169"/>
      <c r="K94" s="273"/>
      <c r="L94" s="169"/>
      <c r="M94" s="304" t="s">
        <v>158</v>
      </c>
    </row>
    <row r="95" spans="1:13" x14ac:dyDescent="0.35">
      <c r="A95" s="259">
        <v>91</v>
      </c>
      <c r="B95" s="263">
        <v>46222</v>
      </c>
      <c r="C95" s="263">
        <v>46222</v>
      </c>
      <c r="D95" s="260">
        <v>0.33333333333333331</v>
      </c>
      <c r="E95" s="260">
        <v>0.83333333333333337</v>
      </c>
      <c r="F95" s="286"/>
      <c r="G95" s="264">
        <f t="shared" si="4"/>
        <v>0</v>
      </c>
      <c r="H95" s="287">
        <f t="shared" si="5"/>
        <v>0</v>
      </c>
      <c r="I95" s="288"/>
      <c r="J95" s="288"/>
      <c r="K95" s="290"/>
      <c r="L95" s="291"/>
      <c r="M95" s="306"/>
    </row>
    <row r="96" spans="1:13" x14ac:dyDescent="0.35">
      <c r="A96" s="259">
        <v>92</v>
      </c>
      <c r="B96" s="263">
        <v>46222</v>
      </c>
      <c r="C96" s="263">
        <v>46222</v>
      </c>
      <c r="D96" s="260">
        <v>0.33333333333333331</v>
      </c>
      <c r="E96" s="260">
        <v>0.83333333333333337</v>
      </c>
      <c r="F96" s="286"/>
      <c r="G96" s="264">
        <f t="shared" si="4"/>
        <v>0</v>
      </c>
      <c r="H96" s="287">
        <f t="shared" si="5"/>
        <v>0</v>
      </c>
      <c r="I96" s="288"/>
      <c r="J96" s="288"/>
      <c r="K96" s="290"/>
      <c r="L96" s="291"/>
      <c r="M96" s="306"/>
    </row>
    <row r="97" spans="1:13" x14ac:dyDescent="0.35">
      <c r="A97" s="259">
        <v>93</v>
      </c>
      <c r="B97" s="263">
        <v>46222</v>
      </c>
      <c r="C97" s="263">
        <v>46223</v>
      </c>
      <c r="D97" s="260">
        <v>0.83333333333333337</v>
      </c>
      <c r="E97" s="260">
        <v>0.33333333333333331</v>
      </c>
      <c r="F97" s="286"/>
      <c r="G97" s="264">
        <f t="shared" si="4"/>
        <v>0</v>
      </c>
      <c r="H97" s="287">
        <f t="shared" si="5"/>
        <v>0</v>
      </c>
      <c r="I97" s="288"/>
      <c r="J97" s="288"/>
      <c r="K97" s="290"/>
      <c r="L97" s="291"/>
      <c r="M97" s="306"/>
    </row>
    <row r="98" spans="1:13" x14ac:dyDescent="0.35">
      <c r="A98" s="259">
        <v>94</v>
      </c>
      <c r="B98" s="263">
        <v>46222</v>
      </c>
      <c r="C98" s="263">
        <v>46223</v>
      </c>
      <c r="D98" s="260">
        <v>0.83333333333333337</v>
      </c>
      <c r="E98" s="260">
        <v>0.33333333333333331</v>
      </c>
      <c r="F98" s="286"/>
      <c r="G98" s="264">
        <f t="shared" si="4"/>
        <v>0</v>
      </c>
      <c r="H98" s="287">
        <f t="shared" si="5"/>
        <v>0</v>
      </c>
      <c r="I98" s="288"/>
      <c r="J98" s="288"/>
      <c r="K98" s="290"/>
      <c r="L98" s="291"/>
      <c r="M98" s="306"/>
    </row>
    <row r="99" spans="1:13" x14ac:dyDescent="0.35">
      <c r="A99" s="169">
        <v>95</v>
      </c>
      <c r="B99" s="270">
        <v>46222</v>
      </c>
      <c r="C99" s="270">
        <v>46222</v>
      </c>
      <c r="D99" s="261">
        <v>0.20833333333333334</v>
      </c>
      <c r="E99" s="261">
        <v>0.91666666666666663</v>
      </c>
      <c r="F99" s="271"/>
      <c r="G99" s="271">
        <f t="shared" ref="G99" si="11">SUM(F99)</f>
        <v>0</v>
      </c>
      <c r="H99" s="273"/>
      <c r="I99" s="169"/>
      <c r="J99" s="169"/>
      <c r="K99" s="273"/>
      <c r="L99" s="169"/>
      <c r="M99" s="304" t="s">
        <v>158</v>
      </c>
    </row>
    <row r="100" spans="1:13" x14ac:dyDescent="0.35">
      <c r="A100" s="259">
        <v>96</v>
      </c>
      <c r="B100" s="263">
        <v>46223</v>
      </c>
      <c r="C100" s="263">
        <v>46223</v>
      </c>
      <c r="D100" s="260">
        <v>0.33333333333333331</v>
      </c>
      <c r="E100" s="260">
        <v>0.83333333333333337</v>
      </c>
      <c r="F100" s="286"/>
      <c r="G100" s="264">
        <f t="shared" si="4"/>
        <v>0</v>
      </c>
      <c r="H100" s="287">
        <f t="shared" ref="H100:H103" si="12">F100-G100</f>
        <v>0</v>
      </c>
      <c r="I100" s="288"/>
      <c r="J100" s="288"/>
      <c r="K100" s="290"/>
      <c r="L100" s="291"/>
      <c r="M100" s="306"/>
    </row>
    <row r="101" spans="1:13" x14ac:dyDescent="0.35">
      <c r="A101" s="259">
        <v>97</v>
      </c>
      <c r="B101" s="263">
        <v>46223</v>
      </c>
      <c r="C101" s="263">
        <v>46223</v>
      </c>
      <c r="D101" s="260">
        <v>0.33333333333333331</v>
      </c>
      <c r="E101" s="260">
        <v>0.83333333333333337</v>
      </c>
      <c r="F101" s="286"/>
      <c r="G101" s="264">
        <f t="shared" si="4"/>
        <v>0</v>
      </c>
      <c r="H101" s="287">
        <f t="shared" si="12"/>
        <v>0</v>
      </c>
      <c r="I101" s="288"/>
      <c r="J101" s="288"/>
      <c r="K101" s="290"/>
      <c r="L101" s="291"/>
      <c r="M101" s="306"/>
    </row>
    <row r="102" spans="1:13" x14ac:dyDescent="0.35">
      <c r="A102" s="259">
        <v>98</v>
      </c>
      <c r="B102" s="263">
        <v>46223</v>
      </c>
      <c r="C102" s="263">
        <v>46224</v>
      </c>
      <c r="D102" s="260">
        <v>0.83333333333333337</v>
      </c>
      <c r="E102" s="260">
        <v>0.33333333333333331</v>
      </c>
      <c r="F102" s="286"/>
      <c r="G102" s="264">
        <f t="shared" si="4"/>
        <v>0</v>
      </c>
      <c r="H102" s="287">
        <f t="shared" si="12"/>
        <v>0</v>
      </c>
      <c r="I102" s="288"/>
      <c r="J102" s="288"/>
      <c r="K102" s="290"/>
      <c r="L102" s="291"/>
      <c r="M102" s="306"/>
    </row>
    <row r="103" spans="1:13" x14ac:dyDescent="0.35">
      <c r="A103" s="259">
        <v>99</v>
      </c>
      <c r="B103" s="263">
        <v>46223</v>
      </c>
      <c r="C103" s="263">
        <v>46224</v>
      </c>
      <c r="D103" s="260">
        <v>0.83333333333333337</v>
      </c>
      <c r="E103" s="260">
        <v>0.33333333333333331</v>
      </c>
      <c r="F103" s="286"/>
      <c r="G103" s="264">
        <f t="shared" si="4"/>
        <v>0</v>
      </c>
      <c r="H103" s="287">
        <f t="shared" si="12"/>
        <v>0</v>
      </c>
      <c r="I103" s="288"/>
      <c r="J103" s="288"/>
      <c r="K103" s="290"/>
      <c r="L103" s="291"/>
      <c r="M103" s="306"/>
    </row>
    <row r="104" spans="1:13" x14ac:dyDescent="0.35">
      <c r="A104" s="169">
        <v>100</v>
      </c>
      <c r="B104" s="270">
        <v>46223</v>
      </c>
      <c r="C104" s="270">
        <v>46223</v>
      </c>
      <c r="D104" s="261">
        <v>0.20833333333333334</v>
      </c>
      <c r="E104" s="261">
        <v>0.91666666666666663</v>
      </c>
      <c r="F104" s="271"/>
      <c r="G104" s="271">
        <f t="shared" ref="G104" si="13">SUM(F104)</f>
        <v>0</v>
      </c>
      <c r="H104" s="273"/>
      <c r="I104" s="169"/>
      <c r="J104" s="169"/>
      <c r="K104" s="273"/>
      <c r="L104" s="169"/>
      <c r="M104" s="304" t="s">
        <v>158</v>
      </c>
    </row>
    <row r="105" spans="1:13" x14ac:dyDescent="0.35">
      <c r="A105" s="259">
        <v>101</v>
      </c>
      <c r="B105" s="263">
        <v>46224</v>
      </c>
      <c r="C105" s="263">
        <v>46224</v>
      </c>
      <c r="D105" s="260">
        <v>0.33333333333333331</v>
      </c>
      <c r="E105" s="260">
        <v>0.83333333333333337</v>
      </c>
      <c r="F105" s="286"/>
      <c r="G105" s="264">
        <f t="shared" si="4"/>
        <v>0</v>
      </c>
      <c r="H105" s="290"/>
      <c r="I105" s="288"/>
      <c r="J105" s="288"/>
      <c r="K105" s="290"/>
      <c r="L105" s="291"/>
      <c r="M105" s="306"/>
    </row>
    <row r="106" spans="1:13" x14ac:dyDescent="0.35">
      <c r="A106" s="259">
        <v>102</v>
      </c>
      <c r="B106" s="263">
        <v>46224</v>
      </c>
      <c r="C106" s="263">
        <v>46224</v>
      </c>
      <c r="D106" s="260">
        <v>0.33333333333333331</v>
      </c>
      <c r="E106" s="260">
        <v>0.83333333333333337</v>
      </c>
      <c r="F106" s="286"/>
      <c r="G106" s="264">
        <f t="shared" si="4"/>
        <v>0</v>
      </c>
      <c r="H106" s="290"/>
      <c r="I106" s="288"/>
      <c r="J106" s="288"/>
      <c r="K106" s="290"/>
      <c r="L106" s="291"/>
      <c r="M106" s="306"/>
    </row>
    <row r="107" spans="1:13" x14ac:dyDescent="0.35">
      <c r="A107" s="259">
        <v>103</v>
      </c>
      <c r="B107" s="263">
        <v>46224</v>
      </c>
      <c r="C107" s="263">
        <v>46225</v>
      </c>
      <c r="D107" s="260">
        <v>0.83333333333333337</v>
      </c>
      <c r="E107" s="260">
        <v>0.33333333333333331</v>
      </c>
      <c r="F107" s="286"/>
      <c r="G107" s="264">
        <f t="shared" si="4"/>
        <v>0</v>
      </c>
      <c r="H107" s="290"/>
      <c r="I107" s="288"/>
      <c r="J107" s="288"/>
      <c r="K107" s="290"/>
      <c r="L107" s="291"/>
      <c r="M107" s="306"/>
    </row>
    <row r="108" spans="1:13" x14ac:dyDescent="0.35">
      <c r="A108" s="259">
        <v>104</v>
      </c>
      <c r="B108" s="263">
        <v>46224</v>
      </c>
      <c r="C108" s="263">
        <v>46225</v>
      </c>
      <c r="D108" s="260">
        <v>0.83333333333333337</v>
      </c>
      <c r="E108" s="260">
        <v>0.33333333333333331</v>
      </c>
      <c r="F108" s="286"/>
      <c r="G108" s="264">
        <f t="shared" si="4"/>
        <v>0</v>
      </c>
      <c r="H108" s="290"/>
      <c r="I108" s="288"/>
      <c r="J108" s="288"/>
      <c r="K108" s="290"/>
      <c r="L108" s="291"/>
      <c r="M108" s="306"/>
    </row>
    <row r="109" spans="1:13" x14ac:dyDescent="0.35">
      <c r="A109" s="169">
        <v>105</v>
      </c>
      <c r="B109" s="270">
        <v>46224</v>
      </c>
      <c r="C109" s="270">
        <v>46224</v>
      </c>
      <c r="D109" s="261">
        <v>0.20833333333333334</v>
      </c>
      <c r="E109" s="261">
        <v>0.91666666666666663</v>
      </c>
      <c r="F109" s="271"/>
      <c r="G109" s="271">
        <f t="shared" ref="G109" si="14">SUM(F109)</f>
        <v>0</v>
      </c>
      <c r="H109" s="273"/>
      <c r="I109" s="169"/>
      <c r="J109" s="169"/>
      <c r="K109" s="273"/>
      <c r="L109" s="169"/>
      <c r="M109" s="304" t="s">
        <v>158</v>
      </c>
    </row>
    <row r="110" spans="1:13" x14ac:dyDescent="0.35">
      <c r="A110" s="259">
        <v>106</v>
      </c>
      <c r="B110" s="263">
        <v>46225</v>
      </c>
      <c r="C110" s="263">
        <v>46225</v>
      </c>
      <c r="D110" s="260">
        <v>0.33333333333333331</v>
      </c>
      <c r="E110" s="260">
        <v>0.83333333333333337</v>
      </c>
      <c r="F110" s="286"/>
      <c r="G110" s="264">
        <f t="shared" si="4"/>
        <v>0</v>
      </c>
      <c r="H110" s="287">
        <f t="shared" ref="H110:H113" si="15">F110-G110</f>
        <v>0</v>
      </c>
      <c r="I110" s="288"/>
      <c r="J110" s="288"/>
      <c r="K110" s="290"/>
      <c r="L110" s="291"/>
      <c r="M110" s="306"/>
    </row>
    <row r="111" spans="1:13" x14ac:dyDescent="0.35">
      <c r="A111" s="259">
        <v>107</v>
      </c>
      <c r="B111" s="263">
        <v>46225</v>
      </c>
      <c r="C111" s="263">
        <v>46225</v>
      </c>
      <c r="D111" s="260">
        <v>0.33333333333333331</v>
      </c>
      <c r="E111" s="260">
        <v>0.83333333333333337</v>
      </c>
      <c r="F111" s="286"/>
      <c r="G111" s="264">
        <f t="shared" si="4"/>
        <v>0</v>
      </c>
      <c r="H111" s="287">
        <f t="shared" si="15"/>
        <v>0</v>
      </c>
      <c r="I111" s="288"/>
      <c r="J111" s="288"/>
      <c r="K111" s="290"/>
      <c r="L111" s="291"/>
      <c r="M111" s="306"/>
    </row>
    <row r="112" spans="1:13" x14ac:dyDescent="0.35">
      <c r="A112" s="259">
        <v>108</v>
      </c>
      <c r="B112" s="263">
        <v>46225</v>
      </c>
      <c r="C112" s="263">
        <v>46226</v>
      </c>
      <c r="D112" s="260">
        <v>0.83333333333333337</v>
      </c>
      <c r="E112" s="260">
        <v>0.33333333333333331</v>
      </c>
      <c r="F112" s="286"/>
      <c r="G112" s="264">
        <f t="shared" si="4"/>
        <v>0</v>
      </c>
      <c r="H112" s="287">
        <f t="shared" si="15"/>
        <v>0</v>
      </c>
      <c r="I112" s="288"/>
      <c r="J112" s="288"/>
      <c r="K112" s="290"/>
      <c r="L112" s="291"/>
      <c r="M112" s="306"/>
    </row>
    <row r="113" spans="1:13" x14ac:dyDescent="0.35">
      <c r="A113" s="259">
        <v>109</v>
      </c>
      <c r="B113" s="263">
        <v>46225</v>
      </c>
      <c r="C113" s="263">
        <v>46226</v>
      </c>
      <c r="D113" s="260">
        <v>0.83333333333333337</v>
      </c>
      <c r="E113" s="260">
        <v>0.33333333333333331</v>
      </c>
      <c r="F113" s="286"/>
      <c r="G113" s="264">
        <f t="shared" si="4"/>
        <v>0</v>
      </c>
      <c r="H113" s="287">
        <f t="shared" si="15"/>
        <v>0</v>
      </c>
      <c r="I113" s="288"/>
      <c r="J113" s="288"/>
      <c r="K113" s="290"/>
      <c r="L113" s="291"/>
      <c r="M113" s="306"/>
    </row>
    <row r="114" spans="1:13" x14ac:dyDescent="0.35">
      <c r="A114" s="169">
        <v>110</v>
      </c>
      <c r="B114" s="270">
        <v>46225</v>
      </c>
      <c r="C114" s="270">
        <v>46225</v>
      </c>
      <c r="D114" s="261">
        <v>0.20833333333333334</v>
      </c>
      <c r="E114" s="261">
        <v>0.91666666666666663</v>
      </c>
      <c r="F114" s="271"/>
      <c r="G114" s="271">
        <f t="shared" ref="G114" si="16">SUM(F114)</f>
        <v>0</v>
      </c>
      <c r="H114" s="273"/>
      <c r="I114" s="169"/>
      <c r="J114" s="169"/>
      <c r="K114" s="273"/>
      <c r="L114" s="169"/>
      <c r="M114" s="304" t="s">
        <v>158</v>
      </c>
    </row>
    <row r="115" spans="1:13" x14ac:dyDescent="0.35">
      <c r="A115" s="259">
        <v>111</v>
      </c>
      <c r="B115" s="263">
        <v>46226</v>
      </c>
      <c r="C115" s="263">
        <v>46226</v>
      </c>
      <c r="D115" s="260">
        <v>0.33333333333333331</v>
      </c>
      <c r="E115" s="260">
        <v>0.83333333333333337</v>
      </c>
      <c r="F115" s="286"/>
      <c r="G115" s="264">
        <f t="shared" si="4"/>
        <v>0</v>
      </c>
      <c r="H115" s="287">
        <f t="shared" ref="H115:H118" si="17">F115-G115</f>
        <v>0</v>
      </c>
      <c r="I115" s="288"/>
      <c r="J115" s="288"/>
      <c r="K115" s="290"/>
      <c r="L115" s="291"/>
      <c r="M115" s="306"/>
    </row>
    <row r="116" spans="1:13" x14ac:dyDescent="0.35">
      <c r="A116" s="259">
        <v>112</v>
      </c>
      <c r="B116" s="263">
        <v>46226</v>
      </c>
      <c r="C116" s="263">
        <v>46226</v>
      </c>
      <c r="D116" s="260">
        <v>0.33333333333333331</v>
      </c>
      <c r="E116" s="260">
        <v>0.83333333333333337</v>
      </c>
      <c r="F116" s="286"/>
      <c r="G116" s="264">
        <f t="shared" si="4"/>
        <v>0</v>
      </c>
      <c r="H116" s="287">
        <f t="shared" si="17"/>
        <v>0</v>
      </c>
      <c r="I116" s="288"/>
      <c r="J116" s="288"/>
      <c r="K116" s="290"/>
      <c r="L116" s="291"/>
      <c r="M116" s="306"/>
    </row>
    <row r="117" spans="1:13" x14ac:dyDescent="0.35">
      <c r="A117" s="259">
        <v>113</v>
      </c>
      <c r="B117" s="263">
        <v>46226</v>
      </c>
      <c r="C117" s="263">
        <v>46227</v>
      </c>
      <c r="D117" s="260">
        <v>0.83333333333333337</v>
      </c>
      <c r="E117" s="260">
        <v>0.33333333333333331</v>
      </c>
      <c r="F117" s="286"/>
      <c r="G117" s="264">
        <f t="shared" si="4"/>
        <v>0</v>
      </c>
      <c r="H117" s="287">
        <f t="shared" si="17"/>
        <v>0</v>
      </c>
      <c r="I117" s="288"/>
      <c r="J117" s="288"/>
      <c r="K117" s="290"/>
      <c r="L117" s="291"/>
      <c r="M117" s="306"/>
    </row>
    <row r="118" spans="1:13" x14ac:dyDescent="0.35">
      <c r="A118" s="259">
        <v>114</v>
      </c>
      <c r="B118" s="263">
        <v>46226</v>
      </c>
      <c r="C118" s="263">
        <v>46227</v>
      </c>
      <c r="D118" s="260">
        <v>0.83333333333333337</v>
      </c>
      <c r="E118" s="260">
        <v>0.33333333333333331</v>
      </c>
      <c r="F118" s="286"/>
      <c r="G118" s="264">
        <f t="shared" si="4"/>
        <v>0</v>
      </c>
      <c r="H118" s="287">
        <f t="shared" si="17"/>
        <v>0</v>
      </c>
      <c r="I118" s="288"/>
      <c r="J118" s="288"/>
      <c r="K118" s="290"/>
      <c r="L118" s="291"/>
      <c r="M118" s="306"/>
    </row>
    <row r="119" spans="1:13" x14ac:dyDescent="0.35">
      <c r="A119" s="169">
        <v>115</v>
      </c>
      <c r="B119" s="270">
        <v>46226</v>
      </c>
      <c r="C119" s="270">
        <v>46226</v>
      </c>
      <c r="D119" s="261">
        <v>0.20833333333333334</v>
      </c>
      <c r="E119" s="261">
        <v>0.91666666666666663</v>
      </c>
      <c r="F119" s="271"/>
      <c r="G119" s="271">
        <f t="shared" ref="G119" si="18">SUM(F119)</f>
        <v>0</v>
      </c>
      <c r="H119" s="273"/>
      <c r="I119" s="169"/>
      <c r="J119" s="169"/>
      <c r="K119" s="273"/>
      <c r="L119" s="169"/>
      <c r="M119" s="304" t="s">
        <v>158</v>
      </c>
    </row>
    <row r="120" spans="1:13" x14ac:dyDescent="0.35">
      <c r="A120" s="259">
        <v>116</v>
      </c>
      <c r="B120" s="263">
        <v>46227</v>
      </c>
      <c r="C120" s="263">
        <v>46227</v>
      </c>
      <c r="D120" s="260">
        <v>0.33333333333333331</v>
      </c>
      <c r="E120" s="260">
        <v>0.83333333333333337</v>
      </c>
      <c r="F120" s="286"/>
      <c r="G120" s="264">
        <f t="shared" si="4"/>
        <v>0</v>
      </c>
      <c r="H120" s="287">
        <f t="shared" ref="H120:H123" si="19">F120-G120</f>
        <v>0</v>
      </c>
      <c r="I120" s="288"/>
      <c r="J120" s="288"/>
      <c r="K120" s="290"/>
      <c r="L120" s="291"/>
      <c r="M120" s="306"/>
    </row>
    <row r="121" spans="1:13" x14ac:dyDescent="0.35">
      <c r="A121" s="259">
        <v>117</v>
      </c>
      <c r="B121" s="263">
        <v>46227</v>
      </c>
      <c r="C121" s="263">
        <v>46227</v>
      </c>
      <c r="D121" s="260">
        <v>0.33333333333333331</v>
      </c>
      <c r="E121" s="260">
        <v>0.83333333333333337</v>
      </c>
      <c r="F121" s="286"/>
      <c r="G121" s="264">
        <f t="shared" si="4"/>
        <v>0</v>
      </c>
      <c r="H121" s="287">
        <f t="shared" si="19"/>
        <v>0</v>
      </c>
      <c r="I121" s="288"/>
      <c r="J121" s="288"/>
      <c r="K121" s="290"/>
      <c r="L121" s="291"/>
      <c r="M121" s="306"/>
    </row>
    <row r="122" spans="1:13" x14ac:dyDescent="0.35">
      <c r="A122" s="259">
        <v>118</v>
      </c>
      <c r="B122" s="263">
        <v>46227</v>
      </c>
      <c r="C122" s="263">
        <v>46228</v>
      </c>
      <c r="D122" s="260">
        <v>0.83333333333333337</v>
      </c>
      <c r="E122" s="260">
        <v>0.33333333333333331</v>
      </c>
      <c r="F122" s="286"/>
      <c r="G122" s="264">
        <f t="shared" si="4"/>
        <v>0</v>
      </c>
      <c r="H122" s="287">
        <f t="shared" si="19"/>
        <v>0</v>
      </c>
      <c r="I122" s="288"/>
      <c r="J122" s="288"/>
      <c r="K122" s="290"/>
      <c r="L122" s="291"/>
      <c r="M122" s="306"/>
    </row>
    <row r="123" spans="1:13" x14ac:dyDescent="0.35">
      <c r="A123" s="259">
        <v>119</v>
      </c>
      <c r="B123" s="263">
        <v>46227</v>
      </c>
      <c r="C123" s="263">
        <v>46228</v>
      </c>
      <c r="D123" s="260">
        <v>0.83333333333333337</v>
      </c>
      <c r="E123" s="260">
        <v>0.33333333333333331</v>
      </c>
      <c r="F123" s="286"/>
      <c r="G123" s="264">
        <f t="shared" si="4"/>
        <v>0</v>
      </c>
      <c r="H123" s="287">
        <f t="shared" si="19"/>
        <v>0</v>
      </c>
      <c r="I123" s="288"/>
      <c r="J123" s="288"/>
      <c r="K123" s="290"/>
      <c r="L123" s="291"/>
      <c r="M123" s="306"/>
    </row>
    <row r="124" spans="1:13" x14ac:dyDescent="0.35">
      <c r="A124" s="169">
        <v>120</v>
      </c>
      <c r="B124" s="270">
        <v>46227</v>
      </c>
      <c r="C124" s="270">
        <v>46227</v>
      </c>
      <c r="D124" s="261">
        <v>0.20833333333333334</v>
      </c>
      <c r="E124" s="261">
        <v>0.91666666666666663</v>
      </c>
      <c r="F124" s="271"/>
      <c r="G124" s="271">
        <f t="shared" ref="G124" si="20">SUM(F124)</f>
        <v>0</v>
      </c>
      <c r="H124" s="273"/>
      <c r="I124" s="169"/>
      <c r="J124" s="169"/>
      <c r="K124" s="273"/>
      <c r="L124" s="169"/>
      <c r="M124" s="304" t="s">
        <v>158</v>
      </c>
    </row>
    <row r="125" spans="1:13" x14ac:dyDescent="0.35">
      <c r="A125" s="259">
        <v>121</v>
      </c>
      <c r="B125" s="263">
        <v>46228</v>
      </c>
      <c r="C125" s="263">
        <v>46228</v>
      </c>
      <c r="D125" s="260">
        <v>0.33333333333333331</v>
      </c>
      <c r="E125" s="260">
        <v>0.83333333333333337</v>
      </c>
      <c r="F125" s="286"/>
      <c r="G125" s="264">
        <f t="shared" si="4"/>
        <v>0</v>
      </c>
      <c r="H125" s="287">
        <f t="shared" ref="H125:H128" si="21">F125-G125</f>
        <v>0</v>
      </c>
      <c r="I125" s="288"/>
      <c r="J125" s="288"/>
      <c r="K125" s="290"/>
      <c r="L125" s="291"/>
      <c r="M125" s="306"/>
    </row>
    <row r="126" spans="1:13" x14ac:dyDescent="0.35">
      <c r="A126" s="259">
        <v>122</v>
      </c>
      <c r="B126" s="263">
        <v>46228</v>
      </c>
      <c r="C126" s="263">
        <v>46228</v>
      </c>
      <c r="D126" s="260">
        <v>0.33333333333333331</v>
      </c>
      <c r="E126" s="260">
        <v>0.83333333333333337</v>
      </c>
      <c r="F126" s="286"/>
      <c r="G126" s="264">
        <f t="shared" si="4"/>
        <v>0</v>
      </c>
      <c r="H126" s="287">
        <f t="shared" si="21"/>
        <v>0</v>
      </c>
      <c r="I126" s="288"/>
      <c r="J126" s="288"/>
      <c r="K126" s="290"/>
      <c r="L126" s="291"/>
      <c r="M126" s="306"/>
    </row>
    <row r="127" spans="1:13" x14ac:dyDescent="0.35">
      <c r="A127" s="259">
        <v>123</v>
      </c>
      <c r="B127" s="263">
        <v>46228</v>
      </c>
      <c r="C127" s="263">
        <v>46229</v>
      </c>
      <c r="D127" s="260">
        <v>0.83333333333333337</v>
      </c>
      <c r="E127" s="260">
        <v>0.33333333333333331</v>
      </c>
      <c r="F127" s="286"/>
      <c r="G127" s="264">
        <f t="shared" si="4"/>
        <v>0</v>
      </c>
      <c r="H127" s="287">
        <f t="shared" si="21"/>
        <v>0</v>
      </c>
      <c r="I127" s="288"/>
      <c r="J127" s="288"/>
      <c r="K127" s="290"/>
      <c r="L127" s="291"/>
      <c r="M127" s="306"/>
    </row>
    <row r="128" spans="1:13" x14ac:dyDescent="0.35">
      <c r="A128" s="259">
        <v>124</v>
      </c>
      <c r="B128" s="263">
        <v>46228</v>
      </c>
      <c r="C128" s="263">
        <v>46229</v>
      </c>
      <c r="D128" s="260">
        <v>0.83333333333333337</v>
      </c>
      <c r="E128" s="260">
        <v>0.33333333333333331</v>
      </c>
      <c r="F128" s="286"/>
      <c r="G128" s="264">
        <f t="shared" si="4"/>
        <v>0</v>
      </c>
      <c r="H128" s="287">
        <f t="shared" si="21"/>
        <v>0</v>
      </c>
      <c r="I128" s="288"/>
      <c r="J128" s="288"/>
      <c r="K128" s="290"/>
      <c r="L128" s="291"/>
      <c r="M128" s="306"/>
    </row>
    <row r="129" spans="1:13" x14ac:dyDescent="0.35">
      <c r="A129" s="169">
        <v>125</v>
      </c>
      <c r="B129" s="270">
        <v>46228</v>
      </c>
      <c r="C129" s="270">
        <v>46228</v>
      </c>
      <c r="D129" s="261">
        <v>0.20833333333333334</v>
      </c>
      <c r="E129" s="261">
        <v>0.91666666666666663</v>
      </c>
      <c r="F129" s="271"/>
      <c r="G129" s="271">
        <f t="shared" ref="G129" si="22">SUM(F129)</f>
        <v>0</v>
      </c>
      <c r="H129" s="273"/>
      <c r="I129" s="169"/>
      <c r="J129" s="169"/>
      <c r="K129" s="273"/>
      <c r="L129" s="169"/>
      <c r="M129" s="304" t="s">
        <v>158</v>
      </c>
    </row>
    <row r="130" spans="1:13" x14ac:dyDescent="0.35">
      <c r="A130" s="259">
        <v>126</v>
      </c>
      <c r="B130" s="263">
        <v>46229</v>
      </c>
      <c r="C130" s="263">
        <v>46229</v>
      </c>
      <c r="D130" s="260">
        <v>0.33333333333333331</v>
      </c>
      <c r="E130" s="260">
        <v>0.83333333333333337</v>
      </c>
      <c r="F130" s="286"/>
      <c r="G130" s="264">
        <f t="shared" si="4"/>
        <v>0</v>
      </c>
      <c r="H130" s="287">
        <f t="shared" ref="H130:H133" si="23">F130-G130</f>
        <v>0</v>
      </c>
      <c r="I130" s="288"/>
      <c r="J130" s="288"/>
      <c r="K130" s="290"/>
      <c r="L130" s="291"/>
      <c r="M130" s="306"/>
    </row>
    <row r="131" spans="1:13" x14ac:dyDescent="0.35">
      <c r="A131" s="259">
        <v>127</v>
      </c>
      <c r="B131" s="263">
        <v>46229</v>
      </c>
      <c r="C131" s="263">
        <v>46229</v>
      </c>
      <c r="D131" s="260">
        <v>0.33333333333333331</v>
      </c>
      <c r="E131" s="260">
        <v>0.83333333333333337</v>
      </c>
      <c r="F131" s="286"/>
      <c r="G131" s="264">
        <f t="shared" si="4"/>
        <v>0</v>
      </c>
      <c r="H131" s="287">
        <f t="shared" si="23"/>
        <v>0</v>
      </c>
      <c r="I131" s="288"/>
      <c r="J131" s="288"/>
      <c r="K131" s="290"/>
      <c r="L131" s="291"/>
      <c r="M131" s="306"/>
    </row>
    <row r="132" spans="1:13" x14ac:dyDescent="0.35">
      <c r="A132" s="259">
        <v>128</v>
      </c>
      <c r="B132" s="263">
        <v>46229</v>
      </c>
      <c r="C132" s="263">
        <v>46230</v>
      </c>
      <c r="D132" s="260">
        <v>0.83333333333333337</v>
      </c>
      <c r="E132" s="260">
        <v>0.33333333333333331</v>
      </c>
      <c r="F132" s="286"/>
      <c r="G132" s="264">
        <f t="shared" si="4"/>
        <v>0</v>
      </c>
      <c r="H132" s="287">
        <f t="shared" si="23"/>
        <v>0</v>
      </c>
      <c r="I132" s="288"/>
      <c r="J132" s="288"/>
      <c r="K132" s="290"/>
      <c r="L132" s="291"/>
      <c r="M132" s="306"/>
    </row>
    <row r="133" spans="1:13" x14ac:dyDescent="0.35">
      <c r="A133" s="259">
        <v>129</v>
      </c>
      <c r="B133" s="263">
        <v>46229</v>
      </c>
      <c r="C133" s="263">
        <v>46230</v>
      </c>
      <c r="D133" s="260">
        <v>0.83333333333333337</v>
      </c>
      <c r="E133" s="260">
        <v>0.33333333333333331</v>
      </c>
      <c r="F133" s="286"/>
      <c r="G133" s="264">
        <f t="shared" si="4"/>
        <v>0</v>
      </c>
      <c r="H133" s="287">
        <f t="shared" si="23"/>
        <v>0</v>
      </c>
      <c r="I133" s="288"/>
      <c r="J133" s="288"/>
      <c r="K133" s="290"/>
      <c r="L133" s="291"/>
      <c r="M133" s="306"/>
    </row>
    <row r="134" spans="1:13" x14ac:dyDescent="0.35">
      <c r="A134" s="169">
        <v>130</v>
      </c>
      <c r="B134" s="270">
        <v>46229</v>
      </c>
      <c r="C134" s="270">
        <v>46229</v>
      </c>
      <c r="D134" s="261">
        <v>0.20833333333333334</v>
      </c>
      <c r="E134" s="261">
        <v>0.91666666666666663</v>
      </c>
      <c r="F134" s="271"/>
      <c r="G134" s="271">
        <f t="shared" ref="G134" si="24">SUM(F134)</f>
        <v>0</v>
      </c>
      <c r="H134" s="273"/>
      <c r="I134" s="169"/>
      <c r="J134" s="169"/>
      <c r="K134" s="273"/>
      <c r="L134" s="169"/>
      <c r="M134" s="304" t="s">
        <v>158</v>
      </c>
    </row>
    <row r="135" spans="1:13" x14ac:dyDescent="0.35">
      <c r="A135" s="259">
        <v>131</v>
      </c>
      <c r="B135" s="263">
        <v>46230</v>
      </c>
      <c r="C135" s="263">
        <v>46200</v>
      </c>
      <c r="D135" s="260">
        <v>0.33333333333333331</v>
      </c>
      <c r="E135" s="260">
        <v>0.83333333333333337</v>
      </c>
      <c r="F135" s="286"/>
      <c r="G135" s="264">
        <f t="shared" si="4"/>
        <v>0</v>
      </c>
      <c r="H135" s="287">
        <f t="shared" ref="H135:H138" si="25">F135-G135</f>
        <v>0</v>
      </c>
      <c r="I135" s="288"/>
      <c r="J135" s="288"/>
      <c r="K135" s="290"/>
      <c r="L135" s="291"/>
      <c r="M135" s="306"/>
    </row>
    <row r="136" spans="1:13" x14ac:dyDescent="0.35">
      <c r="A136" s="259">
        <v>132</v>
      </c>
      <c r="B136" s="263">
        <v>46230</v>
      </c>
      <c r="C136" s="263">
        <v>46230</v>
      </c>
      <c r="D136" s="260">
        <v>0.33333333333333331</v>
      </c>
      <c r="E136" s="260">
        <v>0.83333333333333337</v>
      </c>
      <c r="F136" s="286"/>
      <c r="G136" s="264">
        <f t="shared" si="4"/>
        <v>0</v>
      </c>
      <c r="H136" s="287">
        <f t="shared" si="25"/>
        <v>0</v>
      </c>
      <c r="I136" s="288"/>
      <c r="J136" s="288"/>
      <c r="K136" s="290"/>
      <c r="L136" s="291"/>
      <c r="M136" s="306"/>
    </row>
    <row r="137" spans="1:13" x14ac:dyDescent="0.35">
      <c r="A137" s="259">
        <v>133</v>
      </c>
      <c r="B137" s="263">
        <v>46230</v>
      </c>
      <c r="C137" s="263">
        <v>46231</v>
      </c>
      <c r="D137" s="260">
        <v>0.83333333333333337</v>
      </c>
      <c r="E137" s="260">
        <v>0.33333333333333331</v>
      </c>
      <c r="F137" s="286"/>
      <c r="G137" s="264">
        <f t="shared" ref="G137:G153" si="26">SUM(F137)</f>
        <v>0</v>
      </c>
      <c r="H137" s="287">
        <f t="shared" si="25"/>
        <v>0</v>
      </c>
      <c r="I137" s="288"/>
      <c r="J137" s="288"/>
      <c r="K137" s="290"/>
      <c r="L137" s="291"/>
      <c r="M137" s="306"/>
    </row>
    <row r="138" spans="1:13" x14ac:dyDescent="0.35">
      <c r="A138" s="259">
        <v>134</v>
      </c>
      <c r="B138" s="263">
        <v>46230</v>
      </c>
      <c r="C138" s="263">
        <v>46231</v>
      </c>
      <c r="D138" s="260">
        <v>0.83333333333333337</v>
      </c>
      <c r="E138" s="260">
        <v>0.33333333333333331</v>
      </c>
      <c r="F138" s="286"/>
      <c r="G138" s="264">
        <f t="shared" si="26"/>
        <v>0</v>
      </c>
      <c r="H138" s="287">
        <f t="shared" si="25"/>
        <v>0</v>
      </c>
      <c r="I138" s="288"/>
      <c r="J138" s="288"/>
      <c r="K138" s="290"/>
      <c r="L138" s="291"/>
      <c r="M138" s="306"/>
    </row>
    <row r="139" spans="1:13" x14ac:dyDescent="0.35">
      <c r="A139" s="169">
        <v>135</v>
      </c>
      <c r="B139" s="270">
        <v>46230</v>
      </c>
      <c r="C139" s="270">
        <v>46230</v>
      </c>
      <c r="D139" s="261">
        <v>0.20833333333333334</v>
      </c>
      <c r="E139" s="261">
        <v>0.91666666666666663</v>
      </c>
      <c r="F139" s="271"/>
      <c r="G139" s="271">
        <f t="shared" ref="G139" si="27">SUM(F139)</f>
        <v>0</v>
      </c>
      <c r="H139" s="273"/>
      <c r="I139" s="169"/>
      <c r="J139" s="169"/>
      <c r="K139" s="273"/>
      <c r="L139" s="169"/>
      <c r="M139" s="304" t="s">
        <v>158</v>
      </c>
    </row>
    <row r="140" spans="1:13" x14ac:dyDescent="0.35">
      <c r="A140" s="259">
        <v>136</v>
      </c>
      <c r="B140" s="263">
        <v>46231</v>
      </c>
      <c r="C140" s="263">
        <v>46231</v>
      </c>
      <c r="D140" s="260">
        <v>0.33333333333333331</v>
      </c>
      <c r="E140" s="260">
        <v>0.83333333333333337</v>
      </c>
      <c r="F140" s="286"/>
      <c r="G140" s="264">
        <f t="shared" si="26"/>
        <v>0</v>
      </c>
      <c r="H140" s="287">
        <f t="shared" ref="H140:H143" si="28">F140-G140</f>
        <v>0</v>
      </c>
      <c r="I140" s="291"/>
      <c r="J140" s="291"/>
      <c r="K140" s="290"/>
      <c r="L140" s="291"/>
      <c r="M140" s="306"/>
    </row>
    <row r="141" spans="1:13" x14ac:dyDescent="0.35">
      <c r="A141" s="259">
        <v>137</v>
      </c>
      <c r="B141" s="263">
        <v>46231</v>
      </c>
      <c r="C141" s="263">
        <v>46231</v>
      </c>
      <c r="D141" s="260">
        <v>0.33333333333333331</v>
      </c>
      <c r="E141" s="260">
        <v>0.83333333333333337</v>
      </c>
      <c r="F141" s="286"/>
      <c r="G141" s="264">
        <f t="shared" si="26"/>
        <v>0</v>
      </c>
      <c r="H141" s="287">
        <f t="shared" si="28"/>
        <v>0</v>
      </c>
      <c r="I141" s="291"/>
      <c r="J141" s="291"/>
      <c r="K141" s="290"/>
      <c r="L141" s="291"/>
      <c r="M141" s="306"/>
    </row>
    <row r="142" spans="1:13" x14ac:dyDescent="0.35">
      <c r="A142" s="259">
        <v>138</v>
      </c>
      <c r="B142" s="263">
        <v>46231</v>
      </c>
      <c r="C142" s="263">
        <v>46232</v>
      </c>
      <c r="D142" s="260">
        <v>0.83333333333333337</v>
      </c>
      <c r="E142" s="260">
        <v>0.33333333333333331</v>
      </c>
      <c r="F142" s="286"/>
      <c r="G142" s="264">
        <f t="shared" si="26"/>
        <v>0</v>
      </c>
      <c r="H142" s="287">
        <f t="shared" si="28"/>
        <v>0</v>
      </c>
      <c r="I142" s="291"/>
      <c r="J142" s="291"/>
      <c r="K142" s="290"/>
      <c r="L142" s="291"/>
      <c r="M142" s="306"/>
    </row>
    <row r="143" spans="1:13" x14ac:dyDescent="0.35">
      <c r="A143" s="259">
        <v>139</v>
      </c>
      <c r="B143" s="263">
        <v>46231</v>
      </c>
      <c r="C143" s="263">
        <v>46232</v>
      </c>
      <c r="D143" s="260">
        <v>0.83333333333333337</v>
      </c>
      <c r="E143" s="260">
        <v>0.33333333333333331</v>
      </c>
      <c r="F143" s="286"/>
      <c r="G143" s="264">
        <f t="shared" si="26"/>
        <v>0</v>
      </c>
      <c r="H143" s="287">
        <f t="shared" si="28"/>
        <v>0</v>
      </c>
      <c r="I143" s="291"/>
      <c r="J143" s="291"/>
      <c r="K143" s="290"/>
      <c r="L143" s="291"/>
      <c r="M143" s="306"/>
    </row>
    <row r="144" spans="1:13" x14ac:dyDescent="0.35">
      <c r="A144" s="169">
        <v>140</v>
      </c>
      <c r="B144" s="270">
        <v>46231</v>
      </c>
      <c r="C144" s="270">
        <v>46231</v>
      </c>
      <c r="D144" s="261">
        <v>0.20833333333333334</v>
      </c>
      <c r="E144" s="261">
        <v>0.91666666666666663</v>
      </c>
      <c r="F144" s="271"/>
      <c r="G144" s="271">
        <f t="shared" ref="G144" si="29">SUM(F144)</f>
        <v>0</v>
      </c>
      <c r="H144" s="273"/>
      <c r="I144" s="169"/>
      <c r="J144" s="169"/>
      <c r="K144" s="273"/>
      <c r="L144" s="169"/>
      <c r="M144" s="304" t="s">
        <v>158</v>
      </c>
    </row>
    <row r="145" spans="1:13" x14ac:dyDescent="0.35">
      <c r="A145" s="259">
        <v>141</v>
      </c>
      <c r="B145" s="263">
        <v>46232</v>
      </c>
      <c r="C145" s="263">
        <v>46232</v>
      </c>
      <c r="D145" s="260">
        <v>0.33333333333333331</v>
      </c>
      <c r="E145" s="260">
        <v>0.83333333333333337</v>
      </c>
      <c r="F145" s="286"/>
      <c r="G145" s="264">
        <f t="shared" si="26"/>
        <v>0</v>
      </c>
      <c r="H145" s="287">
        <f t="shared" ref="H145:H147" si="30">F145-G145</f>
        <v>0</v>
      </c>
      <c r="I145" s="291"/>
      <c r="J145" s="291"/>
      <c r="K145" s="290"/>
      <c r="L145" s="291"/>
      <c r="M145" s="306"/>
    </row>
    <row r="146" spans="1:13" x14ac:dyDescent="0.35">
      <c r="A146" s="259">
        <v>142</v>
      </c>
      <c r="B146" s="263">
        <v>46232</v>
      </c>
      <c r="C146" s="263">
        <v>46232</v>
      </c>
      <c r="D146" s="260">
        <v>0.33333333333333331</v>
      </c>
      <c r="E146" s="260">
        <v>0.83333333333333337</v>
      </c>
      <c r="F146" s="286"/>
      <c r="G146" s="264">
        <f t="shared" si="26"/>
        <v>0</v>
      </c>
      <c r="H146" s="287">
        <f t="shared" si="30"/>
        <v>0</v>
      </c>
      <c r="I146" s="291"/>
      <c r="J146" s="291"/>
      <c r="K146" s="290"/>
      <c r="L146" s="291"/>
      <c r="M146" s="306"/>
    </row>
    <row r="147" spans="1:13" x14ac:dyDescent="0.35">
      <c r="A147" s="259">
        <v>143</v>
      </c>
      <c r="B147" s="263">
        <v>46232</v>
      </c>
      <c r="C147" s="263">
        <v>46233</v>
      </c>
      <c r="D147" s="260">
        <v>0.83333333333333337</v>
      </c>
      <c r="E147" s="260">
        <v>0.33333333333333331</v>
      </c>
      <c r="F147" s="286"/>
      <c r="G147" s="264">
        <f t="shared" si="26"/>
        <v>0</v>
      </c>
      <c r="H147" s="287">
        <f t="shared" si="30"/>
        <v>0</v>
      </c>
      <c r="I147" s="291"/>
      <c r="J147" s="291"/>
      <c r="K147" s="290"/>
      <c r="L147" s="291"/>
      <c r="M147" s="306"/>
    </row>
    <row r="148" spans="1:13" x14ac:dyDescent="0.35">
      <c r="A148" s="259">
        <v>144</v>
      </c>
      <c r="B148" s="263">
        <v>46232</v>
      </c>
      <c r="C148" s="263">
        <v>46233</v>
      </c>
      <c r="D148" s="260">
        <v>0.83333333333333337</v>
      </c>
      <c r="E148" s="260">
        <v>0.33333333333333331</v>
      </c>
      <c r="F148" s="286"/>
      <c r="G148" s="264">
        <f t="shared" si="26"/>
        <v>0</v>
      </c>
      <c r="H148" s="287"/>
      <c r="I148" s="291"/>
      <c r="J148" s="291"/>
      <c r="K148" s="290"/>
      <c r="L148" s="291"/>
      <c r="M148" s="306"/>
    </row>
    <row r="149" spans="1:13" x14ac:dyDescent="0.35">
      <c r="A149" s="169">
        <v>145</v>
      </c>
      <c r="B149" s="270">
        <v>46232</v>
      </c>
      <c r="C149" s="270">
        <v>46232</v>
      </c>
      <c r="D149" s="261">
        <v>0.20833333333333334</v>
      </c>
      <c r="E149" s="261">
        <v>0.91666666666666663</v>
      </c>
      <c r="F149" s="271"/>
      <c r="G149" s="271">
        <f t="shared" ref="G149" si="31">SUM(F149)</f>
        <v>0</v>
      </c>
      <c r="H149" s="273"/>
      <c r="I149" s="169"/>
      <c r="J149" s="169"/>
      <c r="K149" s="273"/>
      <c r="L149" s="169"/>
      <c r="M149" s="304" t="s">
        <v>158</v>
      </c>
    </row>
    <row r="150" spans="1:13" x14ac:dyDescent="0.35">
      <c r="A150" s="259">
        <v>146</v>
      </c>
      <c r="B150" s="263">
        <v>46233</v>
      </c>
      <c r="C150" s="263">
        <v>46233</v>
      </c>
      <c r="D150" s="260">
        <v>0.33333333333333331</v>
      </c>
      <c r="E150" s="260">
        <v>0.83333333333333337</v>
      </c>
      <c r="F150" s="286"/>
      <c r="G150" s="264">
        <f t="shared" si="26"/>
        <v>0</v>
      </c>
      <c r="H150" s="287">
        <f t="shared" ref="H150:H153" si="32">F150-G150</f>
        <v>0</v>
      </c>
      <c r="I150" s="291"/>
      <c r="J150" s="291"/>
      <c r="K150" s="290"/>
      <c r="L150" s="291"/>
      <c r="M150" s="306"/>
    </row>
    <row r="151" spans="1:13" x14ac:dyDescent="0.35">
      <c r="A151" s="259">
        <v>147</v>
      </c>
      <c r="B151" s="263">
        <v>46233</v>
      </c>
      <c r="C151" s="263">
        <v>46233</v>
      </c>
      <c r="D151" s="260">
        <v>0.33333333333333331</v>
      </c>
      <c r="E151" s="260">
        <v>0.83333333333333337</v>
      </c>
      <c r="F151" s="286"/>
      <c r="G151" s="264">
        <f t="shared" si="26"/>
        <v>0</v>
      </c>
      <c r="H151" s="287">
        <f t="shared" si="32"/>
        <v>0</v>
      </c>
      <c r="I151" s="291"/>
      <c r="J151" s="291"/>
      <c r="K151" s="290"/>
      <c r="L151" s="291"/>
      <c r="M151" s="306"/>
    </row>
    <row r="152" spans="1:13" x14ac:dyDescent="0.35">
      <c r="A152" s="259">
        <v>148</v>
      </c>
      <c r="B152" s="263">
        <v>46233</v>
      </c>
      <c r="C152" s="263">
        <v>46235</v>
      </c>
      <c r="D152" s="260">
        <v>0.83333333333333337</v>
      </c>
      <c r="E152" s="260">
        <v>0.33333333333333331</v>
      </c>
      <c r="F152" s="286"/>
      <c r="G152" s="264">
        <f t="shared" si="26"/>
        <v>0</v>
      </c>
      <c r="H152" s="287">
        <f t="shared" si="32"/>
        <v>0</v>
      </c>
      <c r="I152" s="290"/>
      <c r="J152" s="290"/>
      <c r="K152" s="290"/>
      <c r="L152" s="291"/>
      <c r="M152" s="306"/>
    </row>
    <row r="153" spans="1:13" x14ac:dyDescent="0.35">
      <c r="A153" s="259">
        <v>149</v>
      </c>
      <c r="B153" s="263">
        <v>46233</v>
      </c>
      <c r="C153" s="263">
        <v>46235</v>
      </c>
      <c r="D153" s="260">
        <v>0.83333333333333337</v>
      </c>
      <c r="E153" s="260">
        <v>0.33333333333333331</v>
      </c>
      <c r="F153" s="286"/>
      <c r="G153" s="264">
        <f t="shared" si="26"/>
        <v>0</v>
      </c>
      <c r="H153" s="287">
        <f t="shared" si="32"/>
        <v>0</v>
      </c>
      <c r="I153" s="290"/>
      <c r="J153" s="290"/>
      <c r="K153" s="290"/>
      <c r="L153" s="291"/>
      <c r="M153" s="306"/>
    </row>
    <row r="154" spans="1:13" x14ac:dyDescent="0.35">
      <c r="A154" s="259">
        <v>150</v>
      </c>
      <c r="B154" s="263">
        <v>46233</v>
      </c>
      <c r="C154" s="263">
        <v>46233</v>
      </c>
      <c r="D154" s="260">
        <v>0.20833333333333334</v>
      </c>
      <c r="E154" s="260">
        <v>0.91666666666666663</v>
      </c>
      <c r="F154" s="300"/>
      <c r="G154" s="271">
        <f t="shared" ref="G154" si="33">SUM(F154)</f>
        <v>0</v>
      </c>
      <c r="H154" s="274"/>
      <c r="I154" s="169"/>
      <c r="J154" s="169"/>
      <c r="K154" s="274"/>
      <c r="L154" s="169"/>
      <c r="M154" s="307"/>
    </row>
    <row r="155" spans="1:13" x14ac:dyDescent="0.35">
      <c r="A155" s="310" t="s">
        <v>4</v>
      </c>
      <c r="B155" s="311"/>
      <c r="C155" s="311"/>
      <c r="D155" s="311"/>
      <c r="E155" s="312"/>
      <c r="F155" s="301">
        <f>SUM(F5:F154)</f>
        <v>12754000</v>
      </c>
      <c r="G155" s="275">
        <f>SUM(F155)</f>
        <v>12754000</v>
      </c>
      <c r="H155" s="276"/>
      <c r="I155" s="276"/>
      <c r="J155" s="276"/>
      <c r="K155" s="276"/>
      <c r="L155" s="281"/>
      <c r="M155" s="308"/>
    </row>
  </sheetData>
  <mergeCells count="5">
    <mergeCell ref="A155:E155"/>
    <mergeCell ref="A1:L1"/>
    <mergeCell ref="A2:L2"/>
    <mergeCell ref="A3:L3"/>
    <mergeCell ref="F29:L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SSH  BOOTH 1 AND 2 JULY</vt:lpstr>
      <vt:lpstr>SSH BOOTH 1 AND 2 AUGUST</vt:lpstr>
      <vt:lpstr>SSH BOOTH 1 &amp; 2 SEPTEMBER</vt:lpstr>
      <vt:lpstr>SSH BOOTH 1AND 2-OCTOBER</vt:lpstr>
      <vt:lpstr>SSH BOOTH 1&amp;2 NOV</vt:lpstr>
      <vt:lpstr>SSH BOOTH 1 &amp;2 DEC</vt:lpstr>
      <vt:lpstr>SSH BOOTH 1 &amp;2 JAN 26</vt:lpstr>
      <vt:lpstr>SSH BOOTH 1 &amp; 2 FEB 2026</vt:lpstr>
      <vt:lpstr>SSH BOOTH 1 &amp; 2 MARCH 2026</vt:lpstr>
      <vt:lpstr>SSH BOOTH 1 &amp; 2 APRIL 2026</vt:lpstr>
      <vt:lpstr>SSH BOOTH 1 &amp; 2 MAY 2026</vt:lpstr>
      <vt:lpstr>SSH BOOTH 1 &amp; 2 JUNE 2026</vt:lpstr>
      <vt:lpstr>SSH BOOTH 1&amp; 2 JULY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Milka Justin</dc:creator>
  <cp:lastModifiedBy>LAIDESON</cp:lastModifiedBy>
  <cp:lastPrinted>2026-05-03T18:46:17Z</cp:lastPrinted>
  <dcterms:created xsi:type="dcterms:W3CDTF">2025-05-26T10:19:08Z</dcterms:created>
  <dcterms:modified xsi:type="dcterms:W3CDTF">2026-07-05T17:48:06Z</dcterms:modified>
</cp:coreProperties>
</file>